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nitoba-my.sharepoint.com/personal/shiva_lashkari_umanitoba_ca/Documents/Desktop/Churchill experiment Nov-Dec 2024/Thamali's test #2 samples/2025, Thamali's test #2 samples PAH NO BF/"/>
    </mc:Choice>
  </mc:AlternateContent>
  <xr:revisionPtr revIDLastSave="461" documentId="8_{6A3C3453-78E5-458B-9F32-C44E2A7DAE27}" xr6:coauthVersionLast="47" xr6:coauthVersionMax="47" xr10:uidLastSave="{E9F620B0-C4B9-4CC9-9265-47020C391495}"/>
  <bookViews>
    <workbookView xWindow="-120" yWindow="-120" windowWidth="29040" windowHeight="15720" xr2:uid="{29381D1E-9C8E-4951-B8C3-3B7254C0FE96}"/>
  </bookViews>
  <sheets>
    <sheet name="Mix of high and low PAHs" sheetId="1" r:id="rId1"/>
    <sheet name="Final results PAHs" sheetId="2" r:id="rId2"/>
    <sheet name="Horizental Final results PA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1" l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" i="1"/>
</calcChain>
</file>

<file path=xl/sharedStrings.xml><?xml version="1.0" encoding="utf-8"?>
<sst xmlns="http://schemas.openxmlformats.org/spreadsheetml/2006/main" count="318" uniqueCount="113">
  <si>
    <t>Compound Method</t>
  </si>
  <si>
    <t>Nov 12, CMO diesel tech mix 2%</t>
  </si>
  <si>
    <t>Nov 12, UV CMO diesel tech mix 2%</t>
  </si>
  <si>
    <t>Nov,12 Thamali set #2 CTRL Bulk oil #1  2% dil</t>
  </si>
  <si>
    <t>Nov,12 Thamali set #2 CTRL Bulk oil #2  2% dil</t>
  </si>
  <si>
    <t>Nov,12 Thamali set #2 Exp ND Bulk oil #1  2% dil</t>
  </si>
  <si>
    <t>Nov,12 Thamali set #2 Exp ND Bulk oil #2  2% dil</t>
  </si>
  <si>
    <t>Nov 12, Thamali set #2 Exp ND#1 water extract 5% of 10 ml</t>
  </si>
  <si>
    <t>Nov 12, Thamali set #2 Exp ND#2 water extract 5% of 10 ml</t>
  </si>
  <si>
    <t>Nov 12, Thamali set #2 CTRL 6 wk full sample 5% of 10ml</t>
  </si>
  <si>
    <t>Nov 12, Thamali set #2 EXP ND 6 wk full sample 5% of 10ml</t>
  </si>
  <si>
    <t>Nov 12, CTRL#1 water extract Thamali set 2 100ul IS</t>
  </si>
  <si>
    <t>Nov 12, CTRL#2 water extract Thamali set 2 100ul IS</t>
  </si>
  <si>
    <t>Name</t>
  </si>
  <si>
    <t>Transition</t>
  </si>
  <si>
    <t>Napthlene</t>
  </si>
  <si>
    <t>128.0 -&gt; 128.0</t>
  </si>
  <si>
    <t>2-Methylnapthlene</t>
  </si>
  <si>
    <t>142.0 -&gt; 142.0</t>
  </si>
  <si>
    <t>1-Methylnapthlene</t>
  </si>
  <si>
    <t>1,6-Dimethylnapthlene</t>
  </si>
  <si>
    <t>156.0 -&gt; 156.0</t>
  </si>
  <si>
    <t>Acenaphthylene</t>
  </si>
  <si>
    <t>152.0 -&gt; 152.0</t>
  </si>
  <si>
    <t>Acenaphthene</t>
  </si>
  <si>
    <t>154.0 -&gt; 154.0</t>
  </si>
  <si>
    <t>2,3,5-Trimethylnapthalene</t>
  </si>
  <si>
    <t>170.0 -&gt; 170.0</t>
  </si>
  <si>
    <t>Fluorene</t>
  </si>
  <si>
    <t>166.0 -&gt; 165.0</t>
  </si>
  <si>
    <t>Dibenzothiophene</t>
  </si>
  <si>
    <t>184.0 -&gt; 184.0</t>
  </si>
  <si>
    <t>Phenanthrene</t>
  </si>
  <si>
    <t>178.0 -&gt; 178.0</t>
  </si>
  <si>
    <t>Anthracene</t>
  </si>
  <si>
    <t>2-Methyldibenzothiophene</t>
  </si>
  <si>
    <t>198.0 -&gt; 198.0</t>
  </si>
  <si>
    <t>2-Methylphenanthrene</t>
  </si>
  <si>
    <t>192.0 -&gt; 192.0</t>
  </si>
  <si>
    <t>2,8-Dimethyldibenzothiophene</t>
  </si>
  <si>
    <t>212.0 -&gt; 212.0</t>
  </si>
  <si>
    <t>2,4-Dimethylphenanthrene</t>
  </si>
  <si>
    <t>206.0 -&gt; 206.0</t>
  </si>
  <si>
    <t>2,4,7-Trimethyldibenzothiophene</t>
  </si>
  <si>
    <t>226.0 -&gt; 226.0</t>
  </si>
  <si>
    <t>Fluoranthene</t>
  </si>
  <si>
    <t>202.0 -&gt; 202.0</t>
  </si>
  <si>
    <t>Pyrene</t>
  </si>
  <si>
    <t>1,2,6-Trimethylphenanthrene</t>
  </si>
  <si>
    <t>220.0 -&gt; 220.0</t>
  </si>
  <si>
    <t>1,2,8-Trimethylphenanthrene</t>
  </si>
  <si>
    <t>1-Methylfluoranthene</t>
  </si>
  <si>
    <t>216.0 -&gt; 216.0</t>
  </si>
  <si>
    <t>Benzo[e]phenanthrene</t>
  </si>
  <si>
    <t>228.0 -&gt; 228.0</t>
  </si>
  <si>
    <t>Benz[a]anthracene</t>
  </si>
  <si>
    <t>Triphenylene</t>
  </si>
  <si>
    <t>Chrysene</t>
  </si>
  <si>
    <t>1-Methylchrysene</t>
  </si>
  <si>
    <t>242.0 -&gt; 242.0</t>
  </si>
  <si>
    <t>6-Ethylchrysene</t>
  </si>
  <si>
    <t>256.0 -&gt; 256.0</t>
  </si>
  <si>
    <t>Benzo[b]fluoranthene</t>
  </si>
  <si>
    <t>252.0 -&gt; 252.0</t>
  </si>
  <si>
    <t>Benzo[k]fluoranthene</t>
  </si>
  <si>
    <t>Benzo[j]fluoranthene</t>
  </si>
  <si>
    <t>Benzo[e]pyrene</t>
  </si>
  <si>
    <t>Benzo[a]pyrene</t>
  </si>
  <si>
    <t>Perylene</t>
  </si>
  <si>
    <t>Indeno[1,2,3-c,d]pyrene</t>
  </si>
  <si>
    <t>276.0 -&gt; 276.0</t>
  </si>
  <si>
    <t>Dibenz[a,h]anthracene</t>
  </si>
  <si>
    <t>278.0 -&gt; 278.0</t>
  </si>
  <si>
    <t>Benzo[g,h,i]perylene</t>
  </si>
  <si>
    <t>Final Conc. Low</t>
  </si>
  <si>
    <t>Final Conc.low</t>
  </si>
  <si>
    <t>Final Conc.high</t>
  </si>
  <si>
    <t>mix of high and low</t>
  </si>
  <si>
    <t>Mix of high and low</t>
  </si>
  <si>
    <t>mix of  high and low</t>
  </si>
  <si>
    <t xml:space="preserve">Nov 12, CMO diesel tech mix </t>
  </si>
  <si>
    <t>Final</t>
  </si>
  <si>
    <t xml:space="preserve">Nov 12, UV CMO diesel tech mix </t>
  </si>
  <si>
    <t>Nov,12 Thamali set #2 CTRL Bulk oil #1</t>
  </si>
  <si>
    <t>Nov,12 Thamali set #2 CTRL Bulk oil #2</t>
  </si>
  <si>
    <t>Nov,12 Thamali set #2 Exp ND Bulk oil #</t>
  </si>
  <si>
    <t xml:space="preserve">Nov,12 Thamali set #2 Exp ND Bulk oil #2  </t>
  </si>
  <si>
    <t xml:space="preserve">Nov 12, Thamali set #2 Exp ND#1 water extract </t>
  </si>
  <si>
    <t xml:space="preserve">Nov 12, Thamali set #2 Exp ND#2 water extract </t>
  </si>
  <si>
    <t xml:space="preserve">Nov 12, Thamali set #2 EXP ND 6 wk full sample </t>
  </si>
  <si>
    <t xml:space="preserve"> CMO diesel tech mix </t>
  </si>
  <si>
    <t xml:space="preserve">UV CMO diesel tech mix </t>
  </si>
  <si>
    <t>Thamali set #2 CTRL Bulk oil #1</t>
  </si>
  <si>
    <t>Thamali set #2 CTRL Bulk oil #2</t>
  </si>
  <si>
    <t xml:space="preserve">Thamali set #2 Exp ND Bulk oil #2  </t>
  </si>
  <si>
    <t xml:space="preserve">Thamali set #2 Exp ND#1 water extract </t>
  </si>
  <si>
    <t xml:space="preserve">Thamali set #2 Exp ND#2 water extract </t>
  </si>
  <si>
    <t xml:space="preserve">Thamali set #2 EXP ND 6 wk full sample </t>
  </si>
  <si>
    <t xml:space="preserve"> CTRL#1 water extract Thamali set 2 100ul IS</t>
  </si>
  <si>
    <t>CTRL#2 water extract Thamali set 2 100ul IS</t>
  </si>
  <si>
    <t>Thamali set #2 Exp ND Bulk oil #1</t>
  </si>
  <si>
    <t xml:space="preserve">Nov 12, Thamali set #2 CTRL 6 wk full sample </t>
  </si>
  <si>
    <t xml:space="preserve">Thamali set #2 CTRL 6 wk full sample </t>
  </si>
  <si>
    <t xml:space="preserve"> CMO diesel tech mix (non-dilute)</t>
  </si>
  <si>
    <t>UV CMO diesel tech mix (non-dilute)</t>
  </si>
  <si>
    <t>Thamali set #2 Exp ND Bulk oil #1 (non-dilute)</t>
  </si>
  <si>
    <t>Thamali set #2 Exp ND Bulk oil #2  (non-dilute)</t>
  </si>
  <si>
    <t>Thamali set #2 Exp ND#1 water extract  (non-dilute)</t>
  </si>
  <si>
    <t>Thamali set #2 CTRL Bulk oil #2 (non-dilute)</t>
  </si>
  <si>
    <t>Thamali set #2 CTRL Bulk oil #1 (non-dilute)</t>
  </si>
  <si>
    <t>Thamali set #2 Exp ND#2 water extract (non-dilute)</t>
  </si>
  <si>
    <t xml:space="preserve"> Thamali set #2 CTRL 6 wk full sample (non-dilute)</t>
  </si>
  <si>
    <t>Thamali set #2 EXP ND 6 wk full sample (non-dilute)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</si>
</sst>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384350"/>
      <name val="Microsoft Sans Serif"/>
      <family val="2"/>
    </font>
    <font>
      <sz val="10"/>
      <name val="Microsoft Sans Serif"/>
      <family val="2"/>
    </font>
    <font>
      <sz val="11"/>
      <name val="Aptos Narrow"/>
      <family val="2"/>
      <scheme val="minor"/>
    </font>
    <font>
      <b/>
      <sz val="10"/>
      <color rgb="FF38435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E1E3E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E1E3E5"/>
      </left>
      <right style="thin">
        <color rgb="FFE1E3E5"/>
      </right>
      <top style="thin">
        <color rgb="FFE1E3E5"/>
      </top>
      <bottom style="thin">
        <color rgb="FFE1E3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2" fontId="2" fillId="0" borderId="4" xfId="0" applyNumberFormat="1" applyFont="1" applyBorder="1" applyAlignment="1">
      <alignment horizontal="right" vertical="top"/>
    </xf>
    <xf numFmtId="0" fontId="3" fillId="0" borderId="0" xfId="0" applyFont="1"/>
    <xf numFmtId="2" fontId="2" fillId="0" borderId="0" xfId="0" applyNumberFormat="1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21A8-134B-46BD-A15E-96598402B6B9}">
  <dimension ref="A1:AX45"/>
  <sheetViews>
    <sheetView tabSelected="1" topLeftCell="U1" workbookViewId="0">
      <selection activeCell="V3" sqref="V3"/>
    </sheetView>
  </sheetViews>
  <sheetFormatPr defaultRowHeight="15" x14ac:dyDescent="0.25"/>
  <cols>
    <col min="1" max="1" width="35.28515625" customWidth="1"/>
    <col min="2" max="2" width="28.5703125" customWidth="1"/>
    <col min="3" max="3" width="50.85546875" customWidth="1"/>
    <col min="4" max="6" width="53.85546875" customWidth="1"/>
    <col min="7" max="7" width="57.28515625" customWidth="1"/>
    <col min="8" max="10" width="44.28515625" customWidth="1"/>
    <col min="11" max="11" width="61.7109375" customWidth="1"/>
    <col min="12" max="14" width="46.7109375" customWidth="1"/>
    <col min="15" max="15" width="52.28515625" customWidth="1"/>
    <col min="16" max="16" width="44.42578125" customWidth="1"/>
    <col min="17" max="17" width="50.140625" customWidth="1"/>
    <col min="18" max="18" width="42.42578125" customWidth="1"/>
    <col min="19" max="19" width="49.140625" customWidth="1"/>
    <col min="20" max="20" width="45.5703125" customWidth="1"/>
    <col min="21" max="21" width="48.85546875" customWidth="1"/>
    <col min="22" max="22" width="42.7109375" customWidth="1"/>
    <col min="23" max="23" width="46.140625" customWidth="1"/>
    <col min="24" max="24" width="47.28515625" customWidth="1"/>
    <col min="25" max="26" width="51.140625" customWidth="1"/>
    <col min="27" max="27" width="56.5703125" customWidth="1"/>
    <col min="28" max="30" width="57" customWidth="1"/>
    <col min="31" max="31" width="59.42578125" customWidth="1"/>
    <col min="32" max="34" width="55.42578125" customWidth="1"/>
    <col min="35" max="35" width="61.5703125" customWidth="1"/>
    <col min="36" max="38" width="55.5703125" customWidth="1"/>
    <col min="39" max="39" width="56.28515625" customWidth="1"/>
    <col min="40" max="42" width="53.5703125" customWidth="1"/>
    <col min="43" max="43" width="52.42578125" customWidth="1"/>
    <col min="44" max="46" width="55.42578125" customWidth="1"/>
    <col min="47" max="47" width="48.28515625" customWidth="1"/>
    <col min="48" max="50" width="51.140625" customWidth="1"/>
  </cols>
  <sheetData>
    <row r="1" spans="1:50" x14ac:dyDescent="0.25">
      <c r="A1" s="1" t="s">
        <v>0</v>
      </c>
      <c r="B1" s="2"/>
      <c r="C1" s="3" t="s">
        <v>1</v>
      </c>
      <c r="D1" s="3" t="s">
        <v>1</v>
      </c>
      <c r="E1" s="3" t="s">
        <v>1</v>
      </c>
      <c r="F1" s="3" t="s">
        <v>80</v>
      </c>
      <c r="G1" s="3" t="s">
        <v>2</v>
      </c>
      <c r="H1" s="3" t="s">
        <v>2</v>
      </c>
      <c r="I1" s="3" t="s">
        <v>2</v>
      </c>
      <c r="J1" s="3" t="s">
        <v>82</v>
      </c>
      <c r="K1" s="3" t="s">
        <v>3</v>
      </c>
      <c r="L1" s="3" t="s">
        <v>3</v>
      </c>
      <c r="M1" s="3" t="s">
        <v>3</v>
      </c>
      <c r="N1" s="3" t="s">
        <v>83</v>
      </c>
      <c r="O1" s="3" t="s">
        <v>4</v>
      </c>
      <c r="P1" s="3" t="s">
        <v>4</v>
      </c>
      <c r="Q1" s="3" t="s">
        <v>4</v>
      </c>
      <c r="R1" s="3" t="s">
        <v>84</v>
      </c>
      <c r="S1" s="3" t="s">
        <v>5</v>
      </c>
      <c r="T1" s="3" t="s">
        <v>5</v>
      </c>
      <c r="U1" s="3" t="s">
        <v>5</v>
      </c>
      <c r="V1" s="3" t="s">
        <v>85</v>
      </c>
      <c r="W1" s="3" t="s">
        <v>6</v>
      </c>
      <c r="X1" s="3" t="s">
        <v>6</v>
      </c>
      <c r="Y1" s="3" t="s">
        <v>6</v>
      </c>
      <c r="Z1" s="3" t="s">
        <v>86</v>
      </c>
      <c r="AA1" s="3" t="s">
        <v>7</v>
      </c>
      <c r="AB1" s="3" t="s">
        <v>7</v>
      </c>
      <c r="AC1" s="3" t="s">
        <v>7</v>
      </c>
      <c r="AD1" s="3" t="s">
        <v>87</v>
      </c>
      <c r="AE1" s="3" t="s">
        <v>8</v>
      </c>
      <c r="AF1" s="3" t="s">
        <v>8</v>
      </c>
      <c r="AG1" s="3" t="s">
        <v>8</v>
      </c>
      <c r="AH1" s="3" t="s">
        <v>88</v>
      </c>
      <c r="AI1" s="3" t="s">
        <v>9</v>
      </c>
      <c r="AJ1" s="3" t="s">
        <v>9</v>
      </c>
      <c r="AK1" s="3" t="s">
        <v>9</v>
      </c>
      <c r="AL1" s="3" t="s">
        <v>101</v>
      </c>
      <c r="AM1" s="3" t="s">
        <v>10</v>
      </c>
      <c r="AN1" s="3" t="s">
        <v>10</v>
      </c>
      <c r="AO1" s="3" t="s">
        <v>10</v>
      </c>
      <c r="AP1" s="3" t="s">
        <v>89</v>
      </c>
      <c r="AQ1" s="3" t="s">
        <v>11</v>
      </c>
      <c r="AR1" s="3" t="s">
        <v>11</v>
      </c>
      <c r="AS1" s="3" t="s">
        <v>11</v>
      </c>
      <c r="AT1" s="3" t="s">
        <v>11</v>
      </c>
      <c r="AU1" s="3" t="s">
        <v>12</v>
      </c>
      <c r="AV1" s="3" t="s">
        <v>12</v>
      </c>
      <c r="AW1" s="3" t="s">
        <v>12</v>
      </c>
      <c r="AX1" s="3" t="s">
        <v>12</v>
      </c>
    </row>
    <row r="2" spans="1:50" x14ac:dyDescent="0.25">
      <c r="A2" s="4" t="s">
        <v>13</v>
      </c>
      <c r="B2" s="4" t="s">
        <v>14</v>
      </c>
      <c r="C2" s="4" t="s">
        <v>74</v>
      </c>
      <c r="D2" s="4" t="s">
        <v>76</v>
      </c>
      <c r="E2" s="4" t="s">
        <v>77</v>
      </c>
      <c r="F2" s="4" t="s">
        <v>81</v>
      </c>
      <c r="G2" s="4" t="s">
        <v>75</v>
      </c>
      <c r="H2" s="4" t="s">
        <v>76</v>
      </c>
      <c r="I2" s="4" t="s">
        <v>78</v>
      </c>
      <c r="J2" s="4" t="s">
        <v>81</v>
      </c>
      <c r="K2" s="4" t="s">
        <v>75</v>
      </c>
      <c r="L2" s="4" t="s">
        <v>76</v>
      </c>
      <c r="M2" s="4" t="s">
        <v>78</v>
      </c>
      <c r="N2" s="4" t="s">
        <v>81</v>
      </c>
      <c r="O2" s="4" t="s">
        <v>75</v>
      </c>
      <c r="P2" s="4" t="s">
        <v>76</v>
      </c>
      <c r="Q2" s="4" t="s">
        <v>77</v>
      </c>
      <c r="R2" s="4" t="s">
        <v>81</v>
      </c>
      <c r="S2" s="4" t="s">
        <v>75</v>
      </c>
      <c r="T2" s="4" t="s">
        <v>76</v>
      </c>
      <c r="U2" s="4" t="s">
        <v>77</v>
      </c>
      <c r="V2" s="4" t="s">
        <v>81</v>
      </c>
      <c r="W2" s="4" t="s">
        <v>75</v>
      </c>
      <c r="X2" s="4" t="s">
        <v>76</v>
      </c>
      <c r="Y2" s="4" t="s">
        <v>77</v>
      </c>
      <c r="Z2" s="4" t="s">
        <v>81</v>
      </c>
      <c r="AA2" s="4" t="s">
        <v>75</v>
      </c>
      <c r="AB2" s="4" t="s">
        <v>76</v>
      </c>
      <c r="AC2" s="4" t="s">
        <v>77</v>
      </c>
      <c r="AD2" s="4"/>
      <c r="AE2" s="4" t="s">
        <v>75</v>
      </c>
      <c r="AF2" s="4" t="s">
        <v>76</v>
      </c>
      <c r="AG2" s="4" t="s">
        <v>77</v>
      </c>
      <c r="AH2" s="4" t="s">
        <v>81</v>
      </c>
      <c r="AI2" s="4" t="s">
        <v>75</v>
      </c>
      <c r="AJ2" s="4" t="s">
        <v>76</v>
      </c>
      <c r="AK2" s="4" t="s">
        <v>79</v>
      </c>
      <c r="AL2" s="4" t="s">
        <v>81</v>
      </c>
      <c r="AM2" s="4" t="s">
        <v>75</v>
      </c>
      <c r="AN2" s="4" t="s">
        <v>76</v>
      </c>
      <c r="AO2" s="4" t="s">
        <v>77</v>
      </c>
      <c r="AP2" s="4" t="s">
        <v>81</v>
      </c>
      <c r="AQ2" s="4" t="s">
        <v>75</v>
      </c>
      <c r="AR2" s="4" t="s">
        <v>76</v>
      </c>
      <c r="AS2" s="4" t="s">
        <v>77</v>
      </c>
      <c r="AT2" s="4" t="s">
        <v>81</v>
      </c>
      <c r="AU2" s="4" t="s">
        <v>75</v>
      </c>
      <c r="AV2" s="4" t="s">
        <v>76</v>
      </c>
      <c r="AW2" s="4" t="s">
        <v>77</v>
      </c>
      <c r="AX2" s="4" t="s">
        <v>81</v>
      </c>
    </row>
    <row r="3" spans="1:50" x14ac:dyDescent="0.25">
      <c r="A3" s="5" t="s">
        <v>15</v>
      </c>
      <c r="B3" s="5" t="s">
        <v>16</v>
      </c>
      <c r="C3" s="6">
        <v>1741.4350268752301</v>
      </c>
      <c r="D3" s="6">
        <v>1528.6739114729301</v>
      </c>
      <c r="E3" s="6">
        <v>1741.4350268752301</v>
      </c>
      <c r="F3" s="6">
        <f>E3*(100/2)</f>
        <v>87071.751343761498</v>
      </c>
      <c r="G3" s="6">
        <v>1563.74236117082</v>
      </c>
      <c r="H3" s="6">
        <v>1425.6327365864399</v>
      </c>
      <c r="I3" s="6">
        <v>1563.74236117082</v>
      </c>
      <c r="J3" s="6">
        <f>I3*(100/2)</f>
        <v>78187.118058541004</v>
      </c>
      <c r="K3" s="6">
        <v>1660.9287905410999</v>
      </c>
      <c r="L3" s="6">
        <v>1470.5423187792001</v>
      </c>
      <c r="M3" s="6">
        <v>1660.9287905410999</v>
      </c>
      <c r="N3" s="6">
        <f>M3*(100/2)</f>
        <v>83046.439527055001</v>
      </c>
      <c r="O3" s="6">
        <v>1703.09029040274</v>
      </c>
      <c r="P3" s="6">
        <v>1500.9861110730201</v>
      </c>
      <c r="Q3" s="6">
        <v>1703.09029040274</v>
      </c>
      <c r="R3" s="6">
        <f>Q3*(100/2)</f>
        <v>85154.514520137003</v>
      </c>
      <c r="S3" s="6">
        <v>1571.6533715333901</v>
      </c>
      <c r="T3" s="6">
        <v>1406.0787128322099</v>
      </c>
      <c r="U3" s="6">
        <v>1571.6533715333901</v>
      </c>
      <c r="V3" s="6">
        <f>U3*(100/2)</f>
        <v>78582.668576669501</v>
      </c>
      <c r="W3" s="6">
        <v>1493.8095603110501</v>
      </c>
      <c r="X3" s="6">
        <v>1349.8695924738399</v>
      </c>
      <c r="Y3" s="6">
        <v>1493.8095603110501</v>
      </c>
      <c r="Z3" s="6">
        <f>Y3*(100/2)</f>
        <v>74690.478015552508</v>
      </c>
      <c r="AA3" s="6">
        <v>55.163308800262001</v>
      </c>
      <c r="AB3" s="6">
        <v>311.05816951661399</v>
      </c>
      <c r="AC3" s="6">
        <v>55.163308800262001</v>
      </c>
      <c r="AD3" s="6">
        <f>AC3*(100/5)*10</f>
        <v>11032.6617600524</v>
      </c>
      <c r="AE3" s="6">
        <v>44.546298498292501</v>
      </c>
      <c r="AF3" s="6">
        <v>303.39188493292397</v>
      </c>
      <c r="AG3" s="6">
        <v>44.546298498292501</v>
      </c>
      <c r="AH3" s="6">
        <f>AG3*(100/5)*10</f>
        <v>8909.2596996585016</v>
      </c>
      <c r="AI3" s="6">
        <v>312.46393049005098</v>
      </c>
      <c r="AJ3" s="6">
        <v>496.848682413483</v>
      </c>
      <c r="AK3" s="6">
        <v>312.46393049005098</v>
      </c>
      <c r="AL3" s="6">
        <f>AK3*(100/5)*10</f>
        <v>62492.786098010198</v>
      </c>
      <c r="AM3" s="6">
        <v>302.74427130373698</v>
      </c>
      <c r="AN3" s="6">
        <v>489.83035321727499</v>
      </c>
      <c r="AO3" s="6">
        <v>302.74427130373698</v>
      </c>
      <c r="AP3" s="6">
        <f>AO3*(100/5)*10</f>
        <v>60548.854260747394</v>
      </c>
      <c r="AQ3" s="6">
        <v>957.60950578249299</v>
      </c>
      <c r="AR3" s="6">
        <v>962.69259114386603</v>
      </c>
      <c r="AS3" s="6">
        <v>962.69259114386603</v>
      </c>
      <c r="AT3" s="6">
        <v>962.69259114386603</v>
      </c>
      <c r="AU3" s="6">
        <v>1163.0204805119199</v>
      </c>
      <c r="AV3" s="6">
        <v>1111.0148536358599</v>
      </c>
      <c r="AW3" s="6">
        <v>1163.0204805119199</v>
      </c>
      <c r="AX3" s="6">
        <v>1163.0204805119199</v>
      </c>
    </row>
    <row r="4" spans="1:50" x14ac:dyDescent="0.25">
      <c r="A4" s="5" t="s">
        <v>17</v>
      </c>
      <c r="B4" s="5" t="s">
        <v>18</v>
      </c>
      <c r="C4" s="6">
        <v>12535.461869245801</v>
      </c>
      <c r="D4" s="6">
        <v>9894.8339250402296</v>
      </c>
      <c r="E4" s="6">
        <v>9894.8339250402296</v>
      </c>
      <c r="F4" s="6">
        <f t="shared" ref="F4:F38" si="0">E4*(100/2)</f>
        <v>494741.69625201146</v>
      </c>
      <c r="G4" s="6">
        <v>10656.201647735599</v>
      </c>
      <c r="H4" s="6">
        <v>8453.3693726289293</v>
      </c>
      <c r="I4" s="6">
        <v>8453.3693726289293</v>
      </c>
      <c r="J4" s="6">
        <f t="shared" ref="J4:J38" si="1">I4*(100/2)</f>
        <v>422668.46863144648</v>
      </c>
      <c r="K4" s="6">
        <v>12017.786797339901</v>
      </c>
      <c r="L4" s="6">
        <v>9499.4600595106494</v>
      </c>
      <c r="M4" s="6">
        <v>9499.4600595106494</v>
      </c>
      <c r="N4" s="6">
        <f t="shared" ref="N4:N38" si="2">M4*(100/2)</f>
        <v>474973.00297553249</v>
      </c>
      <c r="O4" s="6">
        <v>11381.9925097756</v>
      </c>
      <c r="P4" s="6">
        <v>9022.9684926125992</v>
      </c>
      <c r="Q4" s="6">
        <v>9022.9684926125992</v>
      </c>
      <c r="R4" s="6">
        <f t="shared" ref="R4:R38" si="3">Q4*(100/2)</f>
        <v>451148.42463062995</v>
      </c>
      <c r="S4" s="6">
        <v>10996.5293808563</v>
      </c>
      <c r="T4" s="6">
        <v>8627.6743861306804</v>
      </c>
      <c r="U4" s="6">
        <v>8627.6743861306804</v>
      </c>
      <c r="V4" s="6">
        <f t="shared" ref="V4:V38" si="4">U4*(100/2)</f>
        <v>431383.71930653404</v>
      </c>
      <c r="W4" s="6">
        <v>10502.5735168437</v>
      </c>
      <c r="X4" s="6">
        <v>8301.0150160708508</v>
      </c>
      <c r="Y4" s="6">
        <v>8301.0150160708508</v>
      </c>
      <c r="Z4" s="6">
        <f t="shared" ref="Z4:Z38" si="5">Y4*(100/2)</f>
        <v>415050.75080354256</v>
      </c>
      <c r="AA4" s="6">
        <v>212.65939049239901</v>
      </c>
      <c r="AB4" s="6">
        <v>393.15809947389897</v>
      </c>
      <c r="AC4" s="6">
        <v>212.65939049239901</v>
      </c>
      <c r="AD4" s="6">
        <f t="shared" ref="AD4:AD38" si="6">AC4*(100/5)*10</f>
        <v>42531.8780984798</v>
      </c>
      <c r="AE4" s="6">
        <v>139.43448709291101</v>
      </c>
      <c r="AF4" s="6">
        <v>335.79907098546897</v>
      </c>
      <c r="AG4" s="6">
        <v>139.43448709291101</v>
      </c>
      <c r="AH4" s="6">
        <f t="shared" ref="AH4:AH39" si="7">AG4*(100/5)*10</f>
        <v>27886.897418582201</v>
      </c>
      <c r="AI4" s="6">
        <v>2086.2720796857702</v>
      </c>
      <c r="AJ4" s="6">
        <v>1831.54086410328</v>
      </c>
      <c r="AK4" s="6">
        <v>2086.2720796857702</v>
      </c>
      <c r="AL4" s="6">
        <f t="shared" ref="AL4:AL38" si="8">AK4*(100/5)*10</f>
        <v>417254.41593715403</v>
      </c>
      <c r="AM4" s="6">
        <v>2094.9108106997301</v>
      </c>
      <c r="AN4" s="6">
        <v>1830.80919206826</v>
      </c>
      <c r="AO4" s="6">
        <v>2094.9108106997301</v>
      </c>
      <c r="AP4" s="6">
        <f t="shared" ref="AP4:AP38" si="9">AO4*(100/5)*10</f>
        <v>418982.16213994601</v>
      </c>
      <c r="AQ4" s="6">
        <v>3952.4585044749901</v>
      </c>
      <c r="AR4" s="6">
        <v>3218.6421512777201</v>
      </c>
      <c r="AS4" s="6">
        <v>3218.6421512777201</v>
      </c>
      <c r="AT4" s="6">
        <v>3218.6421512777201</v>
      </c>
      <c r="AU4" s="6">
        <v>4144.4681514071599</v>
      </c>
      <c r="AV4" s="6">
        <v>3404.4403853646299</v>
      </c>
      <c r="AW4" s="6">
        <v>3404.4403853646299</v>
      </c>
      <c r="AX4" s="6">
        <v>3404.4403853646299</v>
      </c>
    </row>
    <row r="5" spans="1:50" x14ac:dyDescent="0.25">
      <c r="A5" s="5" t="s">
        <v>19</v>
      </c>
      <c r="B5" s="5" t="s">
        <v>18</v>
      </c>
      <c r="C5" s="6">
        <v>8926.0884185734794</v>
      </c>
      <c r="D5" s="6">
        <v>6952.0961134037698</v>
      </c>
      <c r="E5" s="6">
        <v>6952.0961134037698</v>
      </c>
      <c r="F5" s="6">
        <f t="shared" si="0"/>
        <v>347604.80567018851</v>
      </c>
      <c r="G5" s="6">
        <v>7495.2233771198398</v>
      </c>
      <c r="H5" s="6">
        <v>5877.3343471182598</v>
      </c>
      <c r="I5" s="6">
        <v>5877.3343471182598</v>
      </c>
      <c r="J5" s="6">
        <f t="shared" si="1"/>
        <v>293866.71735591302</v>
      </c>
      <c r="K5" s="6">
        <v>8545.2722966650108</v>
      </c>
      <c r="L5" s="6">
        <v>6666.0547356672996</v>
      </c>
      <c r="M5" s="6">
        <v>6666.0547356672996</v>
      </c>
      <c r="N5" s="6">
        <f t="shared" si="2"/>
        <v>333302.73678336496</v>
      </c>
      <c r="O5" s="6">
        <v>7998.9401012543203</v>
      </c>
      <c r="P5" s="6">
        <v>6255.6897198851702</v>
      </c>
      <c r="Q5" s="6">
        <v>6255.6897198851702</v>
      </c>
      <c r="R5" s="6">
        <f t="shared" si="3"/>
        <v>312784.48599425849</v>
      </c>
      <c r="S5" s="6">
        <v>7635.1096123646003</v>
      </c>
      <c r="T5" s="6">
        <v>5982.4067144730097</v>
      </c>
      <c r="U5" s="6">
        <v>5982.4067144730097</v>
      </c>
      <c r="V5" s="6">
        <f t="shared" si="4"/>
        <v>299120.33572365047</v>
      </c>
      <c r="W5" s="6">
        <v>7294.0718770364902</v>
      </c>
      <c r="X5" s="6">
        <v>5726.2439680417401</v>
      </c>
      <c r="Y5" s="6">
        <v>5726.2439680417401</v>
      </c>
      <c r="Z5" s="6">
        <f t="shared" si="5"/>
        <v>286312.19840208703</v>
      </c>
      <c r="AA5" s="6">
        <v>168.594253281916</v>
      </c>
      <c r="AB5" s="6">
        <v>374.10334354632897</v>
      </c>
      <c r="AC5" s="6">
        <v>168.594253281916</v>
      </c>
      <c r="AD5" s="6">
        <f t="shared" si="6"/>
        <v>33718.850656383205</v>
      </c>
      <c r="AE5" s="6">
        <v>101.76818632451101</v>
      </c>
      <c r="AF5" s="6">
        <v>323.90846165579899</v>
      </c>
      <c r="AG5" s="6">
        <v>101.76818632451101</v>
      </c>
      <c r="AH5" s="6">
        <f t="shared" si="7"/>
        <v>20353.637264902201</v>
      </c>
      <c r="AI5" s="6">
        <v>1505.0352807526001</v>
      </c>
      <c r="AJ5" s="6">
        <v>1377.9406570651499</v>
      </c>
      <c r="AK5" s="6">
        <v>1505.0352807526001</v>
      </c>
      <c r="AL5" s="6">
        <f t="shared" si="8"/>
        <v>301007.05615051999</v>
      </c>
      <c r="AM5" s="6">
        <v>1505.7592617293101</v>
      </c>
      <c r="AN5" s="6">
        <v>1378.48445892678</v>
      </c>
      <c r="AO5" s="6">
        <v>1505.7592617293101</v>
      </c>
      <c r="AP5" s="6">
        <f t="shared" si="9"/>
        <v>301151.85234586202</v>
      </c>
      <c r="AQ5" s="6">
        <v>3055.6857858397998</v>
      </c>
      <c r="AR5" s="6">
        <v>2569.8737482049401</v>
      </c>
      <c r="AS5" s="6">
        <v>2569.8737482049401</v>
      </c>
      <c r="AT5" s="6">
        <v>2569.8737482049401</v>
      </c>
      <c r="AU5" s="6">
        <v>3133.3819502545002</v>
      </c>
      <c r="AV5" s="6">
        <v>2623.3325883202201</v>
      </c>
      <c r="AW5" s="6">
        <v>2623.3325883202201</v>
      </c>
      <c r="AX5" s="6">
        <v>2623.3325883202201</v>
      </c>
    </row>
    <row r="6" spans="1:50" x14ac:dyDescent="0.25">
      <c r="A6" s="5" t="s">
        <v>20</v>
      </c>
      <c r="B6" s="5" t="s">
        <v>21</v>
      </c>
      <c r="C6" s="6">
        <v>9585.1822321023792</v>
      </c>
      <c r="D6" s="6">
        <v>7430.0804145192396</v>
      </c>
      <c r="E6" s="6">
        <v>7430.0804145192396</v>
      </c>
      <c r="F6" s="6">
        <f t="shared" si="0"/>
        <v>371504.02072596201</v>
      </c>
      <c r="G6" s="6">
        <v>7709.6886978951998</v>
      </c>
      <c r="H6" s="6">
        <v>6046.5133036258803</v>
      </c>
      <c r="I6" s="6">
        <v>6046.5133036258803</v>
      </c>
      <c r="J6" s="6">
        <f t="shared" si="1"/>
        <v>302325.66518129403</v>
      </c>
      <c r="K6" s="6">
        <v>8704.5693331022394</v>
      </c>
      <c r="L6" s="6">
        <v>6747.50079112608</v>
      </c>
      <c r="M6" s="6">
        <v>6747.50079112608</v>
      </c>
      <c r="N6" s="6">
        <f t="shared" si="2"/>
        <v>337375.03955630399</v>
      </c>
      <c r="O6" s="6">
        <v>8057.8994949364896</v>
      </c>
      <c r="P6" s="6">
        <v>6286.3365748125098</v>
      </c>
      <c r="Q6" s="6">
        <v>6286.3365748125098</v>
      </c>
      <c r="R6" s="6">
        <f t="shared" si="3"/>
        <v>314316.82874062547</v>
      </c>
      <c r="S6" s="6">
        <v>7202.1389599429604</v>
      </c>
      <c r="T6" s="6">
        <v>5645.4789154250602</v>
      </c>
      <c r="U6" s="6">
        <v>5645.4789154250602</v>
      </c>
      <c r="V6" s="6">
        <f t="shared" si="4"/>
        <v>282273.94577125303</v>
      </c>
      <c r="W6" s="6">
        <v>7310.3445345651098</v>
      </c>
      <c r="X6" s="6">
        <v>5726.51136369699</v>
      </c>
      <c r="Y6" s="6">
        <v>5726.51136369699</v>
      </c>
      <c r="Z6" s="6">
        <f t="shared" si="5"/>
        <v>286325.56818484952</v>
      </c>
      <c r="AA6" s="6">
        <v>152.981252354606</v>
      </c>
      <c r="AB6" s="6">
        <v>366.54102987249797</v>
      </c>
      <c r="AC6" s="6">
        <v>152.981252354606</v>
      </c>
      <c r="AD6" s="6">
        <f t="shared" si="6"/>
        <v>30596.250470921201</v>
      </c>
      <c r="AE6" s="6">
        <v>90.343705316468899</v>
      </c>
      <c r="AF6" s="6">
        <v>319.63333765818601</v>
      </c>
      <c r="AG6" s="6">
        <v>90.343705316468899</v>
      </c>
      <c r="AH6" s="6">
        <f t="shared" si="7"/>
        <v>18068.741063293779</v>
      </c>
      <c r="AI6" s="6">
        <v>1621.42597848983</v>
      </c>
      <c r="AJ6" s="6">
        <v>1466.2225548425399</v>
      </c>
      <c r="AK6" s="6">
        <v>1621.42597848983</v>
      </c>
      <c r="AL6" s="6">
        <f t="shared" si="8"/>
        <v>324285.19569796597</v>
      </c>
      <c r="AM6" s="6">
        <v>1675.6992017952</v>
      </c>
      <c r="AN6" s="6">
        <v>1506.8664142314899</v>
      </c>
      <c r="AO6" s="6">
        <v>1675.6992017952</v>
      </c>
      <c r="AP6" s="6">
        <f t="shared" si="9"/>
        <v>335139.84035904001</v>
      </c>
      <c r="AQ6" s="6">
        <v>3936.8927205147102</v>
      </c>
      <c r="AR6" s="6">
        <v>3200.2176808210502</v>
      </c>
      <c r="AS6" s="6">
        <v>3200.2176808210502</v>
      </c>
      <c r="AT6" s="6">
        <v>3200.2176808210502</v>
      </c>
      <c r="AU6" s="6">
        <v>3371.4714388880798</v>
      </c>
      <c r="AV6" s="6">
        <v>2776.7878259799099</v>
      </c>
      <c r="AW6" s="6">
        <v>2776.7878259799099</v>
      </c>
      <c r="AX6" s="6">
        <v>2776.7878259799099</v>
      </c>
    </row>
    <row r="7" spans="1:50" x14ac:dyDescent="0.25">
      <c r="A7" s="5" t="s">
        <v>22</v>
      </c>
      <c r="B7" s="5" t="s">
        <v>23</v>
      </c>
      <c r="C7" s="6">
        <v>117.334264472683</v>
      </c>
      <c r="D7" s="6">
        <v>453.95703294540499</v>
      </c>
      <c r="E7" s="6">
        <v>117.334264472683</v>
      </c>
      <c r="F7" s="6">
        <f t="shared" si="0"/>
        <v>5866.7132236341504</v>
      </c>
      <c r="G7" s="6">
        <v>66.222696627009697</v>
      </c>
      <c r="H7" s="6">
        <v>422.76403227636399</v>
      </c>
      <c r="I7" s="6">
        <v>66.222696627009697</v>
      </c>
      <c r="J7" s="6">
        <f t="shared" si="1"/>
        <v>3311.134831350485</v>
      </c>
      <c r="K7" s="6">
        <v>120.553275456018</v>
      </c>
      <c r="L7" s="6">
        <v>455.92157083749203</v>
      </c>
      <c r="M7" s="6">
        <v>120.553275456018</v>
      </c>
      <c r="N7" s="6">
        <f t="shared" si="2"/>
        <v>6027.6637728009</v>
      </c>
      <c r="O7" s="6">
        <v>86.172966640461894</v>
      </c>
      <c r="P7" s="6">
        <v>424.60297359934401</v>
      </c>
      <c r="Q7" s="6">
        <v>86.172966640461894</v>
      </c>
      <c r="R7" s="6">
        <f t="shared" si="3"/>
        <v>4308.6483320230946</v>
      </c>
      <c r="S7" s="6">
        <v>62.652723668984699</v>
      </c>
      <c r="T7" s="6">
        <v>420.58530496351102</v>
      </c>
      <c r="U7" s="6">
        <v>62.652723668984699</v>
      </c>
      <c r="V7" s="6">
        <f t="shared" si="4"/>
        <v>3132.636183449235</v>
      </c>
      <c r="W7" s="6">
        <v>65.218245088515602</v>
      </c>
      <c r="X7" s="6">
        <v>422.15102315078099</v>
      </c>
      <c r="Y7" s="6">
        <v>65.218245088515602</v>
      </c>
      <c r="Z7" s="6">
        <f t="shared" si="5"/>
        <v>3260.9122544257802</v>
      </c>
      <c r="AA7" s="6">
        <v>0</v>
      </c>
      <c r="AB7" s="6">
        <v>390.60845550528501</v>
      </c>
      <c r="AC7" s="6">
        <v>0</v>
      </c>
      <c r="AD7" s="6">
        <f t="shared" si="6"/>
        <v>0</v>
      </c>
      <c r="AE7" s="6">
        <v>0</v>
      </c>
      <c r="AF7" s="6">
        <v>0</v>
      </c>
      <c r="AG7" s="6">
        <v>0</v>
      </c>
      <c r="AH7" s="6">
        <f t="shared" si="7"/>
        <v>0</v>
      </c>
      <c r="AI7" s="6">
        <v>23.822430807318</v>
      </c>
      <c r="AJ7" s="6">
        <v>0</v>
      </c>
      <c r="AK7" s="6">
        <v>23.822430807318</v>
      </c>
      <c r="AL7" s="6">
        <f t="shared" si="8"/>
        <v>4764.4861614636002</v>
      </c>
      <c r="AM7" s="6">
        <v>24.143104048003401</v>
      </c>
      <c r="AN7" s="6">
        <v>397.08317733892397</v>
      </c>
      <c r="AO7" s="6">
        <v>24.143104048003401</v>
      </c>
      <c r="AP7" s="6">
        <f t="shared" si="9"/>
        <v>4828.6208096006803</v>
      </c>
      <c r="AQ7" s="6">
        <v>56.657405934047802</v>
      </c>
      <c r="AR7" s="6">
        <v>411.51667522413697</v>
      </c>
      <c r="AS7" s="6">
        <v>56.657405934047802</v>
      </c>
      <c r="AT7" s="6">
        <v>56.657405934047802</v>
      </c>
      <c r="AU7" s="6">
        <v>31.6810313483508</v>
      </c>
      <c r="AV7" s="6">
        <v>409.75436616950702</v>
      </c>
      <c r="AW7" s="6">
        <v>31.6810313483508</v>
      </c>
      <c r="AX7" s="6">
        <v>31.6810313483508</v>
      </c>
    </row>
    <row r="8" spans="1:50" x14ac:dyDescent="0.25">
      <c r="A8" s="5" t="s">
        <v>24</v>
      </c>
      <c r="B8" s="5" t="s">
        <v>25</v>
      </c>
      <c r="C8" s="6">
        <v>198.16193041737799</v>
      </c>
      <c r="D8" s="6">
        <v>554.89556523006695</v>
      </c>
      <c r="E8" s="6">
        <v>198.16193041737799</v>
      </c>
      <c r="F8" s="6">
        <f t="shared" si="0"/>
        <v>9908.0965208688995</v>
      </c>
      <c r="G8" s="6">
        <v>117.466510682814</v>
      </c>
      <c r="H8" s="6">
        <v>510.33772161154798</v>
      </c>
      <c r="I8" s="6">
        <v>117.466510682814</v>
      </c>
      <c r="J8" s="6">
        <f t="shared" si="1"/>
        <v>5873.3255341407003</v>
      </c>
      <c r="K8" s="6">
        <v>120.87347193703501</v>
      </c>
      <c r="L8" s="6">
        <v>512.21895411866296</v>
      </c>
      <c r="M8" s="6">
        <v>120.87347193703501</v>
      </c>
      <c r="N8" s="6">
        <f t="shared" si="2"/>
        <v>6043.6735968517505</v>
      </c>
      <c r="O8" s="6">
        <v>121.674717232622</v>
      </c>
      <c r="P8" s="6">
        <v>512.661380252615</v>
      </c>
      <c r="Q8" s="6">
        <v>121.674717232622</v>
      </c>
      <c r="R8" s="6">
        <f t="shared" si="3"/>
        <v>6083.7358616311003</v>
      </c>
      <c r="S8" s="6">
        <v>113.120046531008</v>
      </c>
      <c r="T8" s="6">
        <v>507.93772083570798</v>
      </c>
      <c r="U8" s="6">
        <v>113.120046531008</v>
      </c>
      <c r="V8" s="6">
        <f t="shared" si="4"/>
        <v>5656.0023265503996</v>
      </c>
      <c r="W8" s="6">
        <v>111.064713681291</v>
      </c>
      <c r="X8" s="6">
        <v>506.802821234183</v>
      </c>
      <c r="Y8" s="6">
        <v>111.064713681291</v>
      </c>
      <c r="Z8" s="6">
        <f t="shared" si="5"/>
        <v>5553.2356840645498</v>
      </c>
      <c r="AA8" s="6">
        <v>15.5589021931397</v>
      </c>
      <c r="AB8" s="6">
        <v>454.09048276751599</v>
      </c>
      <c r="AC8" s="6">
        <v>15.5589021931397</v>
      </c>
      <c r="AD8" s="6">
        <f t="shared" si="6"/>
        <v>3111.7804386279395</v>
      </c>
      <c r="AE8" s="6">
        <v>0</v>
      </c>
      <c r="AF8" s="6">
        <v>0</v>
      </c>
      <c r="AG8" s="6">
        <v>0</v>
      </c>
      <c r="AH8" s="6">
        <f t="shared" si="7"/>
        <v>0</v>
      </c>
      <c r="AI8" s="6">
        <v>34.8812732554739</v>
      </c>
      <c r="AJ8" s="6">
        <v>464.73637141608498</v>
      </c>
      <c r="AK8" s="6">
        <v>34.8812732554739</v>
      </c>
      <c r="AL8" s="6">
        <f t="shared" si="8"/>
        <v>6976.2546510947795</v>
      </c>
      <c r="AM8" s="6">
        <v>36.851691878740603</v>
      </c>
      <c r="AN8" s="6">
        <v>466.37333810756502</v>
      </c>
      <c r="AO8" s="6">
        <v>36.851691878740603</v>
      </c>
      <c r="AP8" s="6">
        <f t="shared" si="9"/>
        <v>7370.3383757481206</v>
      </c>
      <c r="AQ8" s="6">
        <v>79.859175864394999</v>
      </c>
      <c r="AR8" s="6">
        <v>489.571961308666</v>
      </c>
      <c r="AS8" s="6">
        <v>79.859175864394999</v>
      </c>
      <c r="AT8" s="6">
        <v>79.859175864394999</v>
      </c>
      <c r="AU8" s="6">
        <v>74.009110758398606</v>
      </c>
      <c r="AV8" s="6">
        <v>486.29868916382298</v>
      </c>
      <c r="AW8" s="6">
        <v>74.009110758398606</v>
      </c>
      <c r="AX8" s="6">
        <v>74.009110758398606</v>
      </c>
    </row>
    <row r="9" spans="1:50" x14ac:dyDescent="0.25">
      <c r="A9" s="5" t="s">
        <v>26</v>
      </c>
      <c r="B9" s="5" t="s">
        <v>27</v>
      </c>
      <c r="C9" s="6">
        <v>4620.7209912642102</v>
      </c>
      <c r="D9" s="6">
        <v>3596.1624034280499</v>
      </c>
      <c r="E9" s="6">
        <v>3596.1624034280499</v>
      </c>
      <c r="F9" s="6">
        <f t="shared" si="0"/>
        <v>179808.12017140249</v>
      </c>
      <c r="G9" s="6">
        <v>3373.6181418050401</v>
      </c>
      <c r="H9" s="6">
        <v>2705.0167589644402</v>
      </c>
      <c r="I9" s="6">
        <v>2705.0167589644402</v>
      </c>
      <c r="J9" s="6">
        <f t="shared" si="1"/>
        <v>135250.837948222</v>
      </c>
      <c r="K9" s="6">
        <v>3831.45490814508</v>
      </c>
      <c r="L9" s="6">
        <v>3032.1744110988798</v>
      </c>
      <c r="M9" s="6">
        <v>3032.1744110988798</v>
      </c>
      <c r="N9" s="6">
        <f t="shared" si="2"/>
        <v>151608.72055494398</v>
      </c>
      <c r="O9" s="6">
        <v>3453.99119391575</v>
      </c>
      <c r="P9" s="6">
        <v>2762.4491474412798</v>
      </c>
      <c r="Q9" s="6">
        <v>2762.4491474412798</v>
      </c>
      <c r="R9" s="6">
        <f t="shared" si="3"/>
        <v>138122.457372064</v>
      </c>
      <c r="S9" s="6">
        <v>3119.84850496236</v>
      </c>
      <c r="T9" s="6">
        <v>2523.67990557859</v>
      </c>
      <c r="U9" s="6">
        <v>2523.67990557859</v>
      </c>
      <c r="V9" s="6">
        <f t="shared" si="4"/>
        <v>126183.99527892951</v>
      </c>
      <c r="W9" s="6">
        <v>3179.2402011573099</v>
      </c>
      <c r="X9" s="6">
        <v>2566.1195900074899</v>
      </c>
      <c r="Y9" s="6">
        <v>2566.1195900074899</v>
      </c>
      <c r="Z9" s="6">
        <f t="shared" si="5"/>
        <v>128305.97950037449</v>
      </c>
      <c r="AA9" s="6">
        <v>69.948671959789806</v>
      </c>
      <c r="AB9" s="6">
        <v>344.30476149228298</v>
      </c>
      <c r="AC9" s="6">
        <v>69.948671959789806</v>
      </c>
      <c r="AD9" s="6">
        <f t="shared" si="6"/>
        <v>13989.734391957962</v>
      </c>
      <c r="AE9" s="6">
        <v>44.163073252647102</v>
      </c>
      <c r="AF9" s="6">
        <v>325.87907672400502</v>
      </c>
      <c r="AG9" s="6">
        <v>44.163073252647102</v>
      </c>
      <c r="AH9" s="6">
        <f t="shared" si="7"/>
        <v>8832.61465052942</v>
      </c>
      <c r="AI9" s="6">
        <v>673.28212488040197</v>
      </c>
      <c r="AJ9" s="6">
        <v>775.43037311489798</v>
      </c>
      <c r="AK9" s="6">
        <v>673.28212488040197</v>
      </c>
      <c r="AL9" s="6">
        <f t="shared" si="8"/>
        <v>134656.42497608039</v>
      </c>
      <c r="AM9" s="6">
        <v>721.31382313812503</v>
      </c>
      <c r="AN9" s="6">
        <v>809.75251319911195</v>
      </c>
      <c r="AO9" s="6">
        <v>721.31382313812503</v>
      </c>
      <c r="AP9" s="6">
        <f t="shared" si="9"/>
        <v>144262.764627625</v>
      </c>
      <c r="AQ9" s="6">
        <v>2535.8080452792201</v>
      </c>
      <c r="AR9" s="6">
        <v>2106.3405401342202</v>
      </c>
      <c r="AS9" s="6">
        <v>2106.3405401342202</v>
      </c>
      <c r="AT9" s="6">
        <v>2106.3405401342202</v>
      </c>
      <c r="AU9" s="6">
        <v>2058.2190901121598</v>
      </c>
      <c r="AV9" s="6">
        <v>1765.0685131914299</v>
      </c>
      <c r="AW9" s="6">
        <v>2058.2190901121598</v>
      </c>
      <c r="AX9" s="6">
        <v>2058.2190901121598</v>
      </c>
    </row>
    <row r="10" spans="1:50" x14ac:dyDescent="0.25">
      <c r="A10" s="5" t="s">
        <v>28</v>
      </c>
      <c r="B10" s="5" t="s">
        <v>29</v>
      </c>
      <c r="C10" s="6">
        <v>833.34387028033495</v>
      </c>
      <c r="D10" s="6">
        <v>925.04903805932395</v>
      </c>
      <c r="E10" s="6">
        <v>833.34387028033495</v>
      </c>
      <c r="F10" s="6">
        <f t="shared" si="0"/>
        <v>41667.193514016748</v>
      </c>
      <c r="G10" s="6">
        <v>568.42752967672095</v>
      </c>
      <c r="H10" s="6">
        <v>759.38292454586895</v>
      </c>
      <c r="I10" s="6">
        <v>568.42752967672095</v>
      </c>
      <c r="J10" s="6">
        <f t="shared" si="1"/>
        <v>28421.376483836048</v>
      </c>
      <c r="K10" s="6">
        <v>632.51072059025296</v>
      </c>
      <c r="L10" s="6">
        <v>812.36730643099895</v>
      </c>
      <c r="M10" s="6">
        <v>632.51072059025296</v>
      </c>
      <c r="N10" s="6">
        <f t="shared" si="2"/>
        <v>31625.536029512648</v>
      </c>
      <c r="O10" s="6">
        <v>573.96454831276401</v>
      </c>
      <c r="P10" s="6">
        <v>766.10046116977503</v>
      </c>
      <c r="Q10" s="6">
        <v>573.96454831276401</v>
      </c>
      <c r="R10" s="6">
        <f t="shared" si="3"/>
        <v>28698.227415638201</v>
      </c>
      <c r="S10" s="6">
        <v>523.34798055996396</v>
      </c>
      <c r="T10" s="6">
        <v>739.61504700320597</v>
      </c>
      <c r="U10" s="6">
        <v>523.34798055996396</v>
      </c>
      <c r="V10" s="6">
        <f t="shared" si="4"/>
        <v>26167.399027998199</v>
      </c>
      <c r="W10" s="6">
        <v>508.58469361293299</v>
      </c>
      <c r="X10" s="6">
        <v>732.71971206564899</v>
      </c>
      <c r="Y10" s="6">
        <v>508.58469361293299</v>
      </c>
      <c r="Z10" s="6">
        <f t="shared" si="5"/>
        <v>25429.234680646648</v>
      </c>
      <c r="AA10" s="6">
        <v>29.151782670724401</v>
      </c>
      <c r="AB10" s="6">
        <v>432.23379371299399</v>
      </c>
      <c r="AC10" s="6">
        <v>29.151782670724401</v>
      </c>
      <c r="AD10" s="6">
        <f t="shared" si="6"/>
        <v>5830.3565341448802</v>
      </c>
      <c r="AE10" s="6">
        <v>25.760399944324401</v>
      </c>
      <c r="AF10" s="6">
        <v>430.16032956010901</v>
      </c>
      <c r="AG10" s="6">
        <v>25.760399944324401</v>
      </c>
      <c r="AH10" s="6">
        <f t="shared" si="7"/>
        <v>5152.0799888648799</v>
      </c>
      <c r="AI10" s="6">
        <v>118.690467328636</v>
      </c>
      <c r="AJ10" s="6">
        <v>487.92831133980201</v>
      </c>
      <c r="AK10" s="6">
        <v>118.690467328636</v>
      </c>
      <c r="AL10" s="6">
        <f t="shared" si="8"/>
        <v>23738.093465727201</v>
      </c>
      <c r="AM10" s="6">
        <v>120.51563116750501</v>
      </c>
      <c r="AN10" s="6">
        <v>488.22534172846099</v>
      </c>
      <c r="AO10" s="6">
        <v>120.51563116750501</v>
      </c>
      <c r="AP10" s="6">
        <f t="shared" si="9"/>
        <v>24103.126233501003</v>
      </c>
      <c r="AQ10" s="6">
        <v>428.94076711986702</v>
      </c>
      <c r="AR10" s="6">
        <v>677.49448670505706</v>
      </c>
      <c r="AS10" s="6">
        <v>428.94076711986702</v>
      </c>
      <c r="AT10" s="6">
        <v>428.94076711986702</v>
      </c>
      <c r="AU10" s="6">
        <v>346.85098459709099</v>
      </c>
      <c r="AV10" s="6">
        <v>623.88177627996004</v>
      </c>
      <c r="AW10" s="6">
        <v>346.85098459709099</v>
      </c>
      <c r="AX10" s="6">
        <v>346.85098459709099</v>
      </c>
    </row>
    <row r="11" spans="1:50" x14ac:dyDescent="0.25">
      <c r="A11" s="5" t="s">
        <v>30</v>
      </c>
      <c r="B11" s="5" t="s">
        <v>31</v>
      </c>
      <c r="C11" s="6">
        <v>0</v>
      </c>
      <c r="D11" s="6">
        <v>0</v>
      </c>
      <c r="E11" s="6">
        <v>0</v>
      </c>
      <c r="F11" s="6">
        <f t="shared" si="0"/>
        <v>0</v>
      </c>
      <c r="G11" s="6">
        <v>0</v>
      </c>
      <c r="H11" s="6">
        <v>0</v>
      </c>
      <c r="I11" s="6">
        <v>0</v>
      </c>
      <c r="J11" s="6">
        <f t="shared" si="1"/>
        <v>0</v>
      </c>
      <c r="K11" s="6">
        <v>0</v>
      </c>
      <c r="L11" s="6">
        <v>0</v>
      </c>
      <c r="M11" s="6">
        <v>0</v>
      </c>
      <c r="N11" s="6">
        <f t="shared" si="2"/>
        <v>0</v>
      </c>
      <c r="O11" s="6">
        <v>0</v>
      </c>
      <c r="P11" s="6">
        <v>0</v>
      </c>
      <c r="Q11" s="6">
        <v>0</v>
      </c>
      <c r="R11" s="6">
        <f t="shared" si="3"/>
        <v>0</v>
      </c>
      <c r="S11" s="6">
        <v>0</v>
      </c>
      <c r="T11" s="6">
        <v>0</v>
      </c>
      <c r="U11" s="6">
        <v>0</v>
      </c>
      <c r="V11" s="6">
        <f t="shared" si="4"/>
        <v>0</v>
      </c>
      <c r="W11" s="6">
        <v>0</v>
      </c>
      <c r="X11" s="6">
        <v>0</v>
      </c>
      <c r="Y11" s="6">
        <v>0</v>
      </c>
      <c r="Z11" s="6">
        <f t="shared" si="5"/>
        <v>0</v>
      </c>
      <c r="AA11" s="6">
        <v>0</v>
      </c>
      <c r="AB11" s="6">
        <v>0</v>
      </c>
      <c r="AC11" s="6">
        <v>0</v>
      </c>
      <c r="AD11" s="6">
        <f t="shared" si="6"/>
        <v>0</v>
      </c>
      <c r="AE11" s="6">
        <v>0</v>
      </c>
      <c r="AF11" s="6">
        <v>0</v>
      </c>
      <c r="AG11" s="6">
        <v>0</v>
      </c>
      <c r="AH11" s="6">
        <f t="shared" si="7"/>
        <v>0</v>
      </c>
      <c r="AI11" s="6">
        <v>0</v>
      </c>
      <c r="AJ11" s="6">
        <v>0</v>
      </c>
      <c r="AK11" s="6">
        <v>0</v>
      </c>
      <c r="AL11" s="6">
        <f t="shared" si="8"/>
        <v>0</v>
      </c>
      <c r="AM11" s="6">
        <v>0</v>
      </c>
      <c r="AN11" s="6">
        <v>0</v>
      </c>
      <c r="AO11" s="6">
        <v>0</v>
      </c>
      <c r="AP11" s="6">
        <f t="shared" si="9"/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</row>
    <row r="12" spans="1:50" x14ac:dyDescent="0.25">
      <c r="A12" s="5" t="s">
        <v>32</v>
      </c>
      <c r="B12" s="5" t="s">
        <v>33</v>
      </c>
      <c r="C12" s="6">
        <v>746.18519112638796</v>
      </c>
      <c r="D12" s="6">
        <v>872.55645015369805</v>
      </c>
      <c r="E12" s="6">
        <v>746.18519112638796</v>
      </c>
      <c r="F12" s="6">
        <f t="shared" si="0"/>
        <v>37309.259556319397</v>
      </c>
      <c r="G12" s="6">
        <v>548.04544840939002</v>
      </c>
      <c r="H12" s="6">
        <v>765.72023725225904</v>
      </c>
      <c r="I12" s="6">
        <v>548.04544840939002</v>
      </c>
      <c r="J12" s="6">
        <f t="shared" si="1"/>
        <v>27402.272420469501</v>
      </c>
      <c r="K12" s="6">
        <v>536.55863425456903</v>
      </c>
      <c r="L12" s="6">
        <v>757.03476269221005</v>
      </c>
      <c r="M12" s="6">
        <v>536.55863425456903</v>
      </c>
      <c r="N12" s="6">
        <f t="shared" si="2"/>
        <v>26827.931712728452</v>
      </c>
      <c r="O12" s="6">
        <v>522.26010271579196</v>
      </c>
      <c r="P12" s="6">
        <v>765.66136374572</v>
      </c>
      <c r="Q12" s="6">
        <v>522.26010271579196</v>
      </c>
      <c r="R12" s="6">
        <f t="shared" si="3"/>
        <v>26113.005135789597</v>
      </c>
      <c r="S12" s="6">
        <v>481.43908379102902</v>
      </c>
      <c r="T12" s="6">
        <v>728.83723296284904</v>
      </c>
      <c r="U12" s="6">
        <v>481.43908379102902</v>
      </c>
      <c r="V12" s="6">
        <f t="shared" si="4"/>
        <v>24071.954189551452</v>
      </c>
      <c r="W12" s="6">
        <v>473.60061779129398</v>
      </c>
      <c r="X12" s="6">
        <v>724.82730588250502</v>
      </c>
      <c r="Y12" s="6">
        <v>473.60061779129398</v>
      </c>
      <c r="Z12" s="6">
        <f t="shared" si="5"/>
        <v>23680.030889564699</v>
      </c>
      <c r="AA12" s="6">
        <v>27.573560440511802</v>
      </c>
      <c r="AB12" s="6">
        <v>496.68592262310801</v>
      </c>
      <c r="AC12" s="6">
        <v>27.573560440511802</v>
      </c>
      <c r="AD12" s="6">
        <f t="shared" si="6"/>
        <v>5514.7120881023602</v>
      </c>
      <c r="AE12" s="6">
        <v>25.201774666990801</v>
      </c>
      <c r="AF12" s="6">
        <v>495.43973643974499</v>
      </c>
      <c r="AG12" s="6">
        <v>25.201774666990801</v>
      </c>
      <c r="AH12" s="6">
        <f t="shared" si="7"/>
        <v>5040.35493339816</v>
      </c>
      <c r="AI12" s="6">
        <v>90.515526762229001</v>
      </c>
      <c r="AJ12" s="6">
        <v>528.85231783697304</v>
      </c>
      <c r="AK12" s="6">
        <v>90.515526762229001</v>
      </c>
      <c r="AL12" s="6">
        <f t="shared" si="8"/>
        <v>18103.1053524458</v>
      </c>
      <c r="AM12" s="6">
        <v>93.474472035332397</v>
      </c>
      <c r="AN12" s="6">
        <v>531.05729715405198</v>
      </c>
      <c r="AO12" s="6">
        <v>93.474472035332397</v>
      </c>
      <c r="AP12" s="6">
        <f t="shared" si="9"/>
        <v>18694.89440706648</v>
      </c>
      <c r="AQ12" s="6">
        <v>413.03368981720098</v>
      </c>
      <c r="AR12" s="6">
        <v>693.35281278813602</v>
      </c>
      <c r="AS12" s="6">
        <v>413.03368981720098</v>
      </c>
      <c r="AT12" s="6">
        <v>413.03368981720098</v>
      </c>
      <c r="AU12" s="6">
        <v>302.06504052457001</v>
      </c>
      <c r="AV12" s="6">
        <v>635.52703184901202</v>
      </c>
      <c r="AW12" s="6">
        <v>302.06504052457001</v>
      </c>
      <c r="AX12" s="6">
        <v>302.06504052457001</v>
      </c>
    </row>
    <row r="13" spans="1:50" x14ac:dyDescent="0.25">
      <c r="A13" s="5" t="s">
        <v>34</v>
      </c>
      <c r="B13" s="5" t="s">
        <v>33</v>
      </c>
      <c r="C13" s="6">
        <v>0</v>
      </c>
      <c r="D13" s="6">
        <v>0</v>
      </c>
      <c r="E13" s="6">
        <v>0</v>
      </c>
      <c r="F13" s="6">
        <f t="shared" si="0"/>
        <v>0</v>
      </c>
      <c r="G13" s="6">
        <v>0</v>
      </c>
      <c r="H13" s="6">
        <v>0</v>
      </c>
      <c r="I13" s="6">
        <v>0</v>
      </c>
      <c r="J13" s="6">
        <f t="shared" si="1"/>
        <v>0</v>
      </c>
      <c r="K13" s="6">
        <v>0</v>
      </c>
      <c r="L13" s="6">
        <v>0</v>
      </c>
      <c r="M13" s="6">
        <v>0</v>
      </c>
      <c r="N13" s="6">
        <f t="shared" si="2"/>
        <v>0</v>
      </c>
      <c r="O13" s="6">
        <v>0</v>
      </c>
      <c r="P13" s="6">
        <v>0</v>
      </c>
      <c r="Q13" s="6">
        <v>0</v>
      </c>
      <c r="R13" s="6">
        <f t="shared" si="3"/>
        <v>0</v>
      </c>
      <c r="S13" s="6">
        <v>0</v>
      </c>
      <c r="T13" s="6">
        <v>0</v>
      </c>
      <c r="U13" s="6">
        <v>0</v>
      </c>
      <c r="V13" s="6">
        <f t="shared" si="4"/>
        <v>0</v>
      </c>
      <c r="W13" s="6">
        <v>0</v>
      </c>
      <c r="X13" s="6">
        <v>0</v>
      </c>
      <c r="Y13" s="6">
        <v>0</v>
      </c>
      <c r="Z13" s="6">
        <f t="shared" si="5"/>
        <v>0</v>
      </c>
      <c r="AA13" s="6">
        <v>0</v>
      </c>
      <c r="AB13" s="6">
        <v>0</v>
      </c>
      <c r="AC13" s="6">
        <v>0</v>
      </c>
      <c r="AD13" s="6">
        <f t="shared" si="6"/>
        <v>0</v>
      </c>
      <c r="AE13" s="6">
        <v>0</v>
      </c>
      <c r="AF13" s="6">
        <v>0</v>
      </c>
      <c r="AG13" s="6">
        <v>0</v>
      </c>
      <c r="AH13" s="6">
        <f t="shared" si="7"/>
        <v>0</v>
      </c>
      <c r="AI13" s="6">
        <v>0</v>
      </c>
      <c r="AJ13" s="6">
        <v>0</v>
      </c>
      <c r="AK13" s="6">
        <v>0</v>
      </c>
      <c r="AL13" s="6">
        <f t="shared" si="8"/>
        <v>0</v>
      </c>
      <c r="AM13" s="6">
        <v>0</v>
      </c>
      <c r="AN13" s="6">
        <v>0</v>
      </c>
      <c r="AO13" s="6">
        <v>0</v>
      </c>
      <c r="AP13" s="6">
        <f t="shared" si="9"/>
        <v>0</v>
      </c>
      <c r="AQ13" s="6">
        <v>106.964153845965</v>
      </c>
      <c r="AR13" s="6">
        <v>493.02900898705298</v>
      </c>
      <c r="AS13" s="6">
        <v>106.964153845965</v>
      </c>
      <c r="AT13" s="6">
        <v>106.964153845965</v>
      </c>
      <c r="AU13" s="6">
        <v>104.938649815136</v>
      </c>
      <c r="AV13" s="6">
        <v>508.85344003455299</v>
      </c>
      <c r="AW13" s="6">
        <v>104.938649815136</v>
      </c>
      <c r="AX13" s="6">
        <v>104.938649815136</v>
      </c>
    </row>
    <row r="14" spans="1:50" x14ac:dyDescent="0.25">
      <c r="A14" s="5" t="s">
        <v>35</v>
      </c>
      <c r="B14" s="5" t="s">
        <v>36</v>
      </c>
      <c r="C14" s="6">
        <v>0</v>
      </c>
      <c r="D14" s="6">
        <v>0</v>
      </c>
      <c r="E14" s="6">
        <v>0</v>
      </c>
      <c r="F14" s="6">
        <f t="shared" si="0"/>
        <v>0</v>
      </c>
      <c r="G14" s="6">
        <v>0</v>
      </c>
      <c r="H14" s="6">
        <v>0</v>
      </c>
      <c r="I14" s="6">
        <v>0</v>
      </c>
      <c r="J14" s="6">
        <f t="shared" si="1"/>
        <v>0</v>
      </c>
      <c r="K14" s="6">
        <v>0</v>
      </c>
      <c r="L14" s="6">
        <v>0</v>
      </c>
      <c r="M14" s="6">
        <v>0</v>
      </c>
      <c r="N14" s="6">
        <f t="shared" si="2"/>
        <v>0</v>
      </c>
      <c r="O14" s="6">
        <v>0</v>
      </c>
      <c r="P14" s="6">
        <v>0</v>
      </c>
      <c r="Q14" s="6">
        <v>0</v>
      </c>
      <c r="R14" s="6">
        <f t="shared" si="3"/>
        <v>0</v>
      </c>
      <c r="S14" s="6">
        <v>0</v>
      </c>
      <c r="T14" s="6">
        <v>0</v>
      </c>
      <c r="U14" s="6">
        <v>0</v>
      </c>
      <c r="V14" s="6">
        <f t="shared" si="4"/>
        <v>0</v>
      </c>
      <c r="W14" s="6">
        <v>0</v>
      </c>
      <c r="X14" s="6">
        <v>0</v>
      </c>
      <c r="Y14" s="6">
        <v>0</v>
      </c>
      <c r="Z14" s="6">
        <f t="shared" si="5"/>
        <v>0</v>
      </c>
      <c r="AA14" s="6">
        <v>0</v>
      </c>
      <c r="AB14" s="6">
        <v>0</v>
      </c>
      <c r="AC14" s="6">
        <v>0</v>
      </c>
      <c r="AD14" s="6">
        <f t="shared" si="6"/>
        <v>0</v>
      </c>
      <c r="AE14" s="6">
        <v>0</v>
      </c>
      <c r="AF14" s="6">
        <v>0</v>
      </c>
      <c r="AG14" s="6">
        <v>0</v>
      </c>
      <c r="AH14" s="6">
        <f t="shared" si="7"/>
        <v>0</v>
      </c>
      <c r="AI14" s="6">
        <v>0</v>
      </c>
      <c r="AJ14" s="6">
        <v>0</v>
      </c>
      <c r="AK14" s="6">
        <v>0</v>
      </c>
      <c r="AL14" s="6">
        <f t="shared" si="8"/>
        <v>0</v>
      </c>
      <c r="AM14" s="6">
        <v>0</v>
      </c>
      <c r="AN14" s="6">
        <v>0</v>
      </c>
      <c r="AO14" s="6">
        <v>0</v>
      </c>
      <c r="AP14" s="6">
        <f t="shared" si="9"/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</row>
    <row r="15" spans="1:50" x14ac:dyDescent="0.25">
      <c r="A15" s="5" t="s">
        <v>37</v>
      </c>
      <c r="B15" s="5" t="s">
        <v>38</v>
      </c>
      <c r="C15" s="6">
        <v>1138.3806141145301</v>
      </c>
      <c r="D15" s="6">
        <v>1083.54973775961</v>
      </c>
      <c r="E15" s="6">
        <v>1138.3806141145301</v>
      </c>
      <c r="F15" s="6">
        <f t="shared" si="0"/>
        <v>56919.030705726502</v>
      </c>
      <c r="G15" s="6">
        <v>932.08757532130505</v>
      </c>
      <c r="H15" s="6">
        <v>965.62973389378499</v>
      </c>
      <c r="I15" s="6">
        <v>932.08757532130505</v>
      </c>
      <c r="J15" s="6">
        <f t="shared" si="1"/>
        <v>46604.378766065252</v>
      </c>
      <c r="K15" s="6">
        <v>789.698560553226</v>
      </c>
      <c r="L15" s="6">
        <v>877.95431733496696</v>
      </c>
      <c r="M15" s="6">
        <v>789.698560553226</v>
      </c>
      <c r="N15" s="6">
        <f t="shared" si="2"/>
        <v>39484.928027661299</v>
      </c>
      <c r="O15" s="6">
        <v>765.06935695828895</v>
      </c>
      <c r="P15" s="6">
        <v>862.94449162257797</v>
      </c>
      <c r="Q15" s="6">
        <v>765.06935695828895</v>
      </c>
      <c r="R15" s="6">
        <f t="shared" si="3"/>
        <v>38253.46784791445</v>
      </c>
      <c r="S15" s="6">
        <v>729.58816849644404</v>
      </c>
      <c r="T15" s="6">
        <v>839.87866223598803</v>
      </c>
      <c r="U15" s="6">
        <v>729.58816849644404</v>
      </c>
      <c r="V15" s="6">
        <f t="shared" si="4"/>
        <v>36479.408424822199</v>
      </c>
      <c r="W15" s="6">
        <v>829.09784935146797</v>
      </c>
      <c r="X15" s="6">
        <v>897.52008572117302</v>
      </c>
      <c r="Y15" s="6">
        <v>829.09784935146797</v>
      </c>
      <c r="Z15" s="6">
        <f t="shared" si="5"/>
        <v>41454.892467573402</v>
      </c>
      <c r="AA15" s="6">
        <v>32.7907089014005</v>
      </c>
      <c r="AB15" s="6">
        <v>416.69524599841702</v>
      </c>
      <c r="AC15" s="6">
        <v>32.7907089014005</v>
      </c>
      <c r="AD15" s="6">
        <f t="shared" si="6"/>
        <v>6558.1417802801006</v>
      </c>
      <c r="AE15" s="6">
        <v>28.751634193816798</v>
      </c>
      <c r="AF15" s="6">
        <v>414.22396236401897</v>
      </c>
      <c r="AG15" s="6">
        <v>28.751634193816798</v>
      </c>
      <c r="AH15" s="6">
        <f t="shared" si="7"/>
        <v>5750.3268387633598</v>
      </c>
      <c r="AI15" s="6">
        <v>127.30107347108699</v>
      </c>
      <c r="AJ15" s="6">
        <v>473.269412692814</v>
      </c>
      <c r="AK15" s="6">
        <v>127.30107347108699</v>
      </c>
      <c r="AL15" s="6">
        <f t="shared" si="8"/>
        <v>25460.214694217397</v>
      </c>
      <c r="AM15" s="6">
        <v>130.508437786972</v>
      </c>
      <c r="AN15" s="6">
        <v>476.38633793320002</v>
      </c>
      <c r="AO15" s="6">
        <v>130.508437786972</v>
      </c>
      <c r="AP15" s="6">
        <f t="shared" si="9"/>
        <v>26101.687557394398</v>
      </c>
      <c r="AQ15" s="6">
        <v>695.29591536415501</v>
      </c>
      <c r="AR15" s="6">
        <v>822.45947851484402</v>
      </c>
      <c r="AS15" s="6">
        <v>695.29591536415501</v>
      </c>
      <c r="AT15" s="6">
        <v>695.29591536415501</v>
      </c>
      <c r="AU15" s="6">
        <v>492.44440634566598</v>
      </c>
      <c r="AV15" s="6">
        <v>695.11045339618795</v>
      </c>
      <c r="AW15" s="6">
        <v>492.44440634566598</v>
      </c>
      <c r="AX15" s="6">
        <v>492.44440634566598</v>
      </c>
    </row>
    <row r="16" spans="1:50" x14ac:dyDescent="0.25">
      <c r="A16" s="5" t="s">
        <v>39</v>
      </c>
      <c r="B16" s="5" t="s">
        <v>40</v>
      </c>
      <c r="C16" s="6">
        <v>0</v>
      </c>
      <c r="D16" s="6">
        <v>0</v>
      </c>
      <c r="E16" s="6">
        <v>0</v>
      </c>
      <c r="F16" s="6">
        <f t="shared" si="0"/>
        <v>0</v>
      </c>
      <c r="G16" s="6">
        <v>0</v>
      </c>
      <c r="H16" s="6">
        <v>0</v>
      </c>
      <c r="I16" s="6">
        <v>0</v>
      </c>
      <c r="J16" s="6">
        <f t="shared" si="1"/>
        <v>0</v>
      </c>
      <c r="K16" s="6">
        <v>0</v>
      </c>
      <c r="L16" s="6">
        <v>0</v>
      </c>
      <c r="M16" s="6">
        <v>0</v>
      </c>
      <c r="N16" s="6">
        <f t="shared" si="2"/>
        <v>0</v>
      </c>
      <c r="O16" s="6">
        <v>0</v>
      </c>
      <c r="P16" s="6">
        <v>0</v>
      </c>
      <c r="Q16" s="6">
        <v>0</v>
      </c>
      <c r="R16" s="6">
        <f t="shared" si="3"/>
        <v>0</v>
      </c>
      <c r="S16" s="6">
        <v>0</v>
      </c>
      <c r="T16" s="6">
        <v>0</v>
      </c>
      <c r="U16" s="6">
        <v>0</v>
      </c>
      <c r="V16" s="6">
        <f t="shared" si="4"/>
        <v>0</v>
      </c>
      <c r="W16" s="6">
        <v>0</v>
      </c>
      <c r="X16" s="6">
        <v>0</v>
      </c>
      <c r="Y16" s="6">
        <v>0</v>
      </c>
      <c r="Z16" s="6">
        <f t="shared" si="5"/>
        <v>0</v>
      </c>
      <c r="AA16" s="6">
        <v>0</v>
      </c>
      <c r="AB16" s="6">
        <v>0</v>
      </c>
      <c r="AC16" s="6">
        <v>0</v>
      </c>
      <c r="AD16" s="6">
        <f t="shared" si="6"/>
        <v>0</v>
      </c>
      <c r="AE16" s="6">
        <v>0</v>
      </c>
      <c r="AF16" s="6">
        <v>0</v>
      </c>
      <c r="AG16" s="6">
        <v>0</v>
      </c>
      <c r="AH16" s="6">
        <f t="shared" si="7"/>
        <v>0</v>
      </c>
      <c r="AI16" s="6">
        <v>0</v>
      </c>
      <c r="AJ16" s="6">
        <v>0</v>
      </c>
      <c r="AK16" s="6">
        <v>0</v>
      </c>
      <c r="AL16" s="6">
        <f t="shared" si="8"/>
        <v>0</v>
      </c>
      <c r="AM16" s="6">
        <v>0</v>
      </c>
      <c r="AN16" s="6">
        <v>0</v>
      </c>
      <c r="AO16" s="6">
        <v>0</v>
      </c>
      <c r="AP16" s="6">
        <f t="shared" si="9"/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</row>
    <row r="17" spans="1:50" x14ac:dyDescent="0.25">
      <c r="A17" s="5" t="s">
        <v>41</v>
      </c>
      <c r="B17" s="5" t="s">
        <v>42</v>
      </c>
      <c r="C17" s="6">
        <v>587.90513379234301</v>
      </c>
      <c r="D17" s="6">
        <v>734.17663474934898</v>
      </c>
      <c r="E17" s="6">
        <v>587.90513379234301</v>
      </c>
      <c r="F17" s="6">
        <f t="shared" si="0"/>
        <v>29395.256689617152</v>
      </c>
      <c r="G17" s="6">
        <v>477.05906809128101</v>
      </c>
      <c r="H17" s="6">
        <v>658.54479748451001</v>
      </c>
      <c r="I17" s="6">
        <v>477.05906809128101</v>
      </c>
      <c r="J17" s="6">
        <f t="shared" si="1"/>
        <v>23852.95340456405</v>
      </c>
      <c r="K17" s="6">
        <v>312.808105200206</v>
      </c>
      <c r="L17" s="6">
        <v>548.168082581504</v>
      </c>
      <c r="M17" s="6">
        <v>312.808105200206</v>
      </c>
      <c r="N17" s="6">
        <f t="shared" si="2"/>
        <v>15640.4052600103</v>
      </c>
      <c r="O17" s="6">
        <v>327.20787860652399</v>
      </c>
      <c r="P17" s="6">
        <v>557.770298779006</v>
      </c>
      <c r="Q17" s="6">
        <v>327.20787860652399</v>
      </c>
      <c r="R17" s="6">
        <f t="shared" si="3"/>
        <v>16360.3939303262</v>
      </c>
      <c r="S17" s="6">
        <v>355.80823079269499</v>
      </c>
      <c r="T17" s="6">
        <v>577.00488926853996</v>
      </c>
      <c r="U17" s="6">
        <v>355.80823079269499</v>
      </c>
      <c r="V17" s="6">
        <f t="shared" si="4"/>
        <v>17790.411539634748</v>
      </c>
      <c r="W17" s="6">
        <v>380.92292506982898</v>
      </c>
      <c r="X17" s="6">
        <v>593.89425607090402</v>
      </c>
      <c r="Y17" s="6">
        <v>380.92292506982898</v>
      </c>
      <c r="Z17" s="6">
        <f t="shared" si="5"/>
        <v>19046.14625349145</v>
      </c>
      <c r="AA17" s="6">
        <v>28.525843408144699</v>
      </c>
      <c r="AB17" s="6">
        <v>356.62249666330399</v>
      </c>
      <c r="AC17" s="6">
        <v>28.525843408144699</v>
      </c>
      <c r="AD17" s="6">
        <f t="shared" si="6"/>
        <v>5705.1686816289393</v>
      </c>
      <c r="AE17" s="6">
        <v>26.403182351976401</v>
      </c>
      <c r="AF17" s="6">
        <v>355.49788538199999</v>
      </c>
      <c r="AG17" s="6">
        <v>26.403182351976401</v>
      </c>
      <c r="AH17" s="6">
        <f t="shared" si="7"/>
        <v>5280.6364703952804</v>
      </c>
      <c r="AI17" s="6">
        <v>73.083533743556004</v>
      </c>
      <c r="AJ17" s="6">
        <v>386.82176613870701</v>
      </c>
      <c r="AK17" s="6">
        <v>73.083533743556004</v>
      </c>
      <c r="AL17" s="6">
        <f t="shared" si="8"/>
        <v>14616.706748711202</v>
      </c>
      <c r="AM17" s="6">
        <v>73.010106584784594</v>
      </c>
      <c r="AN17" s="6">
        <v>386.82613582392202</v>
      </c>
      <c r="AO17" s="6">
        <v>73.010106584784594</v>
      </c>
      <c r="AP17" s="6">
        <f t="shared" si="9"/>
        <v>14602.021316956918</v>
      </c>
      <c r="AQ17" s="6">
        <v>427.04689193532198</v>
      </c>
      <c r="AR17" s="6">
        <v>624.91213692484996</v>
      </c>
      <c r="AS17" s="6">
        <v>427.04689193532198</v>
      </c>
      <c r="AT17" s="6">
        <v>427.04689193532198</v>
      </c>
      <c r="AU17" s="6">
        <v>329.47447194382102</v>
      </c>
      <c r="AV17" s="6">
        <v>559.29571440955795</v>
      </c>
      <c r="AW17" s="6">
        <v>329.47447194382102</v>
      </c>
      <c r="AX17" s="6">
        <v>329.47447194382102</v>
      </c>
    </row>
    <row r="18" spans="1:50" x14ac:dyDescent="0.25">
      <c r="A18" s="5" t="s">
        <v>43</v>
      </c>
      <c r="B18" s="5" t="s">
        <v>44</v>
      </c>
      <c r="C18" s="6">
        <v>0</v>
      </c>
      <c r="D18" s="6">
        <v>0</v>
      </c>
      <c r="E18" s="6">
        <v>0</v>
      </c>
      <c r="F18" s="6">
        <f t="shared" si="0"/>
        <v>0</v>
      </c>
      <c r="G18" s="6">
        <v>0</v>
      </c>
      <c r="H18" s="6">
        <v>0</v>
      </c>
      <c r="I18" s="6">
        <v>0</v>
      </c>
      <c r="J18" s="6">
        <f t="shared" si="1"/>
        <v>0</v>
      </c>
      <c r="K18" s="6">
        <v>0</v>
      </c>
      <c r="L18" s="6">
        <v>0</v>
      </c>
      <c r="M18" s="6">
        <v>0</v>
      </c>
      <c r="N18" s="6">
        <f t="shared" si="2"/>
        <v>0</v>
      </c>
      <c r="O18" s="6">
        <v>0</v>
      </c>
      <c r="P18" s="6">
        <v>0</v>
      </c>
      <c r="Q18" s="6">
        <v>0</v>
      </c>
      <c r="R18" s="6">
        <f t="shared" si="3"/>
        <v>0</v>
      </c>
      <c r="S18" s="6">
        <v>0</v>
      </c>
      <c r="T18" s="6">
        <v>0</v>
      </c>
      <c r="U18" s="6">
        <v>0</v>
      </c>
      <c r="V18" s="6">
        <f t="shared" si="4"/>
        <v>0</v>
      </c>
      <c r="W18" s="6">
        <v>0</v>
      </c>
      <c r="X18" s="6">
        <v>0</v>
      </c>
      <c r="Y18" s="6">
        <v>0</v>
      </c>
      <c r="Z18" s="6">
        <f t="shared" si="5"/>
        <v>0</v>
      </c>
      <c r="AA18" s="6">
        <v>0</v>
      </c>
      <c r="AB18" s="6">
        <v>0</v>
      </c>
      <c r="AC18" s="6">
        <v>0</v>
      </c>
      <c r="AD18" s="6">
        <f t="shared" si="6"/>
        <v>0</v>
      </c>
      <c r="AE18" s="6">
        <v>0</v>
      </c>
      <c r="AF18" s="6">
        <v>0</v>
      </c>
      <c r="AG18" s="6">
        <v>0</v>
      </c>
      <c r="AH18" s="6">
        <f t="shared" si="7"/>
        <v>0</v>
      </c>
      <c r="AI18" s="6">
        <v>0</v>
      </c>
      <c r="AJ18" s="6">
        <v>0</v>
      </c>
      <c r="AK18" s="6">
        <v>0</v>
      </c>
      <c r="AL18" s="6">
        <f t="shared" si="8"/>
        <v>0</v>
      </c>
      <c r="AM18" s="6">
        <v>0</v>
      </c>
      <c r="AN18" s="6">
        <v>0</v>
      </c>
      <c r="AO18" s="6">
        <v>0</v>
      </c>
      <c r="AP18" s="6">
        <f t="shared" si="9"/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</row>
    <row r="19" spans="1:50" x14ac:dyDescent="0.25">
      <c r="A19" s="5" t="s">
        <v>45</v>
      </c>
      <c r="B19" s="5" t="s">
        <v>46</v>
      </c>
      <c r="C19" s="6">
        <v>31.935719259517999</v>
      </c>
      <c r="D19" s="6">
        <v>524.92775189064901</v>
      </c>
      <c r="E19" s="6">
        <v>31.935719259517999</v>
      </c>
      <c r="F19" s="6">
        <f t="shared" si="0"/>
        <v>1596.7859629759</v>
      </c>
      <c r="G19" s="6">
        <v>0</v>
      </c>
      <c r="H19" s="6">
        <v>0</v>
      </c>
      <c r="I19" s="6">
        <v>0</v>
      </c>
      <c r="J19" s="6">
        <f t="shared" si="1"/>
        <v>0</v>
      </c>
      <c r="K19" s="6">
        <v>0</v>
      </c>
      <c r="L19" s="6">
        <v>0</v>
      </c>
      <c r="M19" s="6">
        <v>0</v>
      </c>
      <c r="N19" s="6">
        <f t="shared" si="2"/>
        <v>0</v>
      </c>
      <c r="O19" s="6">
        <v>0</v>
      </c>
      <c r="P19" s="6">
        <v>0</v>
      </c>
      <c r="Q19" s="6">
        <v>0</v>
      </c>
      <c r="R19" s="6">
        <f t="shared" si="3"/>
        <v>0</v>
      </c>
      <c r="S19" s="6">
        <v>0</v>
      </c>
      <c r="T19" s="6">
        <v>0</v>
      </c>
      <c r="U19" s="6">
        <v>0</v>
      </c>
      <c r="V19" s="6">
        <f t="shared" si="4"/>
        <v>0</v>
      </c>
      <c r="W19" s="6">
        <v>0</v>
      </c>
      <c r="X19" s="6">
        <v>0</v>
      </c>
      <c r="Y19" s="6">
        <v>0</v>
      </c>
      <c r="Z19" s="6">
        <f t="shared" si="5"/>
        <v>0</v>
      </c>
      <c r="AA19" s="6">
        <v>0</v>
      </c>
      <c r="AB19" s="6">
        <v>0</v>
      </c>
      <c r="AC19" s="6">
        <v>0</v>
      </c>
      <c r="AD19" s="6">
        <f t="shared" si="6"/>
        <v>0</v>
      </c>
      <c r="AE19" s="6">
        <v>0</v>
      </c>
      <c r="AF19" s="6">
        <v>0</v>
      </c>
      <c r="AG19" s="6">
        <v>0</v>
      </c>
      <c r="AH19" s="6">
        <f t="shared" si="7"/>
        <v>0</v>
      </c>
      <c r="AI19" s="6">
        <v>0</v>
      </c>
      <c r="AJ19" s="6">
        <v>0</v>
      </c>
      <c r="AK19" s="6">
        <v>0</v>
      </c>
      <c r="AL19" s="6">
        <f t="shared" si="8"/>
        <v>0</v>
      </c>
      <c r="AM19" s="6">
        <v>0</v>
      </c>
      <c r="AN19" s="6">
        <v>0</v>
      </c>
      <c r="AO19" s="6">
        <v>0</v>
      </c>
      <c r="AP19" s="6">
        <f t="shared" si="9"/>
        <v>0</v>
      </c>
      <c r="AQ19" s="6">
        <v>35.320690867826698</v>
      </c>
      <c r="AR19" s="6">
        <v>526.72154176712695</v>
      </c>
      <c r="AS19" s="6">
        <v>35.320690867826698</v>
      </c>
      <c r="AT19" s="6">
        <v>35.320690867826698</v>
      </c>
      <c r="AU19" s="6">
        <v>0</v>
      </c>
      <c r="AV19" s="6">
        <v>0</v>
      </c>
      <c r="AW19" s="6">
        <v>0</v>
      </c>
      <c r="AX19" s="6">
        <v>0</v>
      </c>
    </row>
    <row r="20" spans="1:50" x14ac:dyDescent="0.25">
      <c r="A20" s="5" t="s">
        <v>47</v>
      </c>
      <c r="B20" s="5" t="s">
        <v>46</v>
      </c>
      <c r="C20" s="6">
        <v>142.475638664625</v>
      </c>
      <c r="D20" s="6">
        <v>474.94007362346503</v>
      </c>
      <c r="E20" s="6">
        <v>142.475638664625</v>
      </c>
      <c r="F20" s="6">
        <f t="shared" si="0"/>
        <v>7123.7819332312502</v>
      </c>
      <c r="G20" s="6">
        <v>34.351738733631599</v>
      </c>
      <c r="H20" s="6">
        <v>404.78785378580397</v>
      </c>
      <c r="I20" s="6">
        <v>34.351738733631599</v>
      </c>
      <c r="J20" s="6">
        <f t="shared" si="1"/>
        <v>1717.58693668158</v>
      </c>
      <c r="K20" s="6">
        <v>32.497032395442197</v>
      </c>
      <c r="L20" s="6">
        <v>403.62301124441501</v>
      </c>
      <c r="M20" s="6">
        <v>32.497032395442197</v>
      </c>
      <c r="N20" s="6">
        <f t="shared" si="2"/>
        <v>1624.8516197721099</v>
      </c>
      <c r="O20" s="6">
        <v>32.359197235512397</v>
      </c>
      <c r="P20" s="6">
        <v>403.61862399643701</v>
      </c>
      <c r="Q20" s="6">
        <v>32.359197235512397</v>
      </c>
      <c r="R20" s="6">
        <f t="shared" si="3"/>
        <v>1617.9598617756199</v>
      </c>
      <c r="S20" s="6">
        <v>32.409405935447197</v>
      </c>
      <c r="T20" s="6">
        <v>403.58451845469699</v>
      </c>
      <c r="U20" s="6">
        <v>32.409405935447197</v>
      </c>
      <c r="V20" s="6">
        <f t="shared" si="4"/>
        <v>1620.4702967723599</v>
      </c>
      <c r="W20" s="6">
        <v>32.720677928424003</v>
      </c>
      <c r="X20" s="6">
        <v>404.06131983630797</v>
      </c>
      <c r="Y20" s="6">
        <v>32.720677928424003</v>
      </c>
      <c r="Z20" s="6">
        <f t="shared" si="5"/>
        <v>1636.0338964212001</v>
      </c>
      <c r="AA20" s="6">
        <v>0</v>
      </c>
      <c r="AB20" s="6">
        <v>0</v>
      </c>
      <c r="AC20" s="6">
        <v>0</v>
      </c>
      <c r="AD20" s="6">
        <f t="shared" si="6"/>
        <v>0</v>
      </c>
      <c r="AE20" s="6">
        <v>0</v>
      </c>
      <c r="AF20" s="6">
        <v>0</v>
      </c>
      <c r="AG20" s="6">
        <v>0</v>
      </c>
      <c r="AH20" s="6">
        <f t="shared" si="7"/>
        <v>0</v>
      </c>
      <c r="AI20" s="6">
        <v>0</v>
      </c>
      <c r="AJ20" s="6">
        <v>0</v>
      </c>
      <c r="AK20" s="6">
        <v>0</v>
      </c>
      <c r="AL20" s="6">
        <f t="shared" si="8"/>
        <v>0</v>
      </c>
      <c r="AM20" s="6">
        <v>0</v>
      </c>
      <c r="AN20" s="6">
        <v>0</v>
      </c>
      <c r="AO20" s="6">
        <v>0</v>
      </c>
      <c r="AP20" s="6">
        <f t="shared" si="9"/>
        <v>0</v>
      </c>
      <c r="AQ20" s="6">
        <v>88.506215246143697</v>
      </c>
      <c r="AR20" s="6">
        <v>439.84586335984301</v>
      </c>
      <c r="AS20" s="6">
        <v>88.506215246143697</v>
      </c>
      <c r="AT20" s="6">
        <v>88.506215246143697</v>
      </c>
      <c r="AU20" s="6">
        <v>51.690302403874597</v>
      </c>
      <c r="AV20" s="6">
        <v>415.03376234756797</v>
      </c>
      <c r="AW20" s="6">
        <v>51.690302403874597</v>
      </c>
      <c r="AX20" s="6">
        <v>51.690302403874597</v>
      </c>
    </row>
    <row r="21" spans="1:50" x14ac:dyDescent="0.25">
      <c r="A21" s="5" t="s">
        <v>48</v>
      </c>
      <c r="B21" s="5" t="s">
        <v>49</v>
      </c>
      <c r="C21" s="6">
        <v>109.912795463064</v>
      </c>
      <c r="D21" s="6">
        <v>366.70439008112902</v>
      </c>
      <c r="E21" s="6">
        <v>109.912795463064</v>
      </c>
      <c r="F21" s="6">
        <f t="shared" si="0"/>
        <v>5495.6397731531997</v>
      </c>
      <c r="G21" s="6">
        <v>77.734821362625695</v>
      </c>
      <c r="H21" s="6">
        <v>344.42982637710298</v>
      </c>
      <c r="I21" s="6">
        <v>77.734821362625695</v>
      </c>
      <c r="J21" s="6">
        <f t="shared" si="1"/>
        <v>3886.7410681312849</v>
      </c>
      <c r="K21" s="6">
        <v>63.176744318886499</v>
      </c>
      <c r="L21" s="6">
        <v>334.40774855091598</v>
      </c>
      <c r="M21" s="6">
        <v>63.176744318886499</v>
      </c>
      <c r="N21" s="6">
        <f t="shared" si="2"/>
        <v>3158.8372159443247</v>
      </c>
      <c r="O21" s="6">
        <v>61.4778654002548</v>
      </c>
      <c r="P21" s="6">
        <v>333.17627138053598</v>
      </c>
      <c r="Q21" s="6">
        <v>61.4778654002548</v>
      </c>
      <c r="R21" s="6">
        <f t="shared" si="3"/>
        <v>3073.8932700127398</v>
      </c>
      <c r="S21" s="6">
        <v>66.476911102143305</v>
      </c>
      <c r="T21" s="6">
        <v>336.64003095916701</v>
      </c>
      <c r="U21" s="6">
        <v>66.476911102143305</v>
      </c>
      <c r="V21" s="6">
        <f t="shared" si="4"/>
        <v>3323.8455551071652</v>
      </c>
      <c r="W21" s="6">
        <v>68.7918830178007</v>
      </c>
      <c r="X21" s="6">
        <v>338.13766716383498</v>
      </c>
      <c r="Y21" s="6">
        <v>68.7918830178007</v>
      </c>
      <c r="Z21" s="6">
        <f t="shared" si="5"/>
        <v>3439.5941508900351</v>
      </c>
      <c r="AA21" s="6">
        <v>0</v>
      </c>
      <c r="AB21" s="6">
        <v>0</v>
      </c>
      <c r="AC21" s="6">
        <v>0</v>
      </c>
      <c r="AD21" s="6">
        <f t="shared" si="6"/>
        <v>0</v>
      </c>
      <c r="AE21" s="6">
        <v>0</v>
      </c>
      <c r="AF21" s="6">
        <v>0</v>
      </c>
      <c r="AG21" s="6">
        <v>0</v>
      </c>
      <c r="AH21" s="6">
        <f t="shared" si="7"/>
        <v>0</v>
      </c>
      <c r="AI21" s="6">
        <v>31.6959253819537</v>
      </c>
      <c r="AJ21" s="6">
        <v>312.56031469859897</v>
      </c>
      <c r="AK21" s="6">
        <v>31.6959253819537</v>
      </c>
      <c r="AL21" s="6">
        <f t="shared" si="8"/>
        <v>6339.1850763907405</v>
      </c>
      <c r="AM21" s="6">
        <v>31.795081549979901</v>
      </c>
      <c r="AN21" s="6">
        <v>312.628953587252</v>
      </c>
      <c r="AO21" s="6">
        <v>31.795081549979901</v>
      </c>
      <c r="AP21" s="6">
        <f t="shared" si="9"/>
        <v>6359.0163099959809</v>
      </c>
      <c r="AQ21" s="6">
        <v>86.548877009704498</v>
      </c>
      <c r="AR21" s="6">
        <v>350.53118140302399</v>
      </c>
      <c r="AS21" s="6">
        <v>86.548877009704498</v>
      </c>
      <c r="AT21" s="6">
        <v>86.548877009704498</v>
      </c>
      <c r="AU21" s="6">
        <v>77.588919933956703</v>
      </c>
      <c r="AV21" s="6">
        <v>343.75938379266898</v>
      </c>
      <c r="AW21" s="6">
        <v>77.588919933956703</v>
      </c>
      <c r="AX21" s="6">
        <v>77.588919933956703</v>
      </c>
    </row>
    <row r="22" spans="1:50" x14ac:dyDescent="0.25">
      <c r="A22" s="5" t="s">
        <v>50</v>
      </c>
      <c r="B22" s="5" t="s">
        <v>49</v>
      </c>
      <c r="C22" s="6">
        <v>44.038274577105902</v>
      </c>
      <c r="D22" s="6">
        <v>334.151272976744</v>
      </c>
      <c r="E22" s="6">
        <v>44.038274577105902</v>
      </c>
      <c r="F22" s="6">
        <f t="shared" si="0"/>
        <v>2201.9137288552952</v>
      </c>
      <c r="G22" s="6">
        <v>37.418152014669502</v>
      </c>
      <c r="H22" s="6">
        <v>329.84413712009001</v>
      </c>
      <c r="I22" s="6">
        <v>37.418152014669502</v>
      </c>
      <c r="J22" s="6">
        <f t="shared" si="1"/>
        <v>1870.9076007334752</v>
      </c>
      <c r="K22" s="6">
        <v>33.614420298433103</v>
      </c>
      <c r="L22" s="6">
        <v>327.39211510624</v>
      </c>
      <c r="M22" s="6">
        <v>33.614420298433103</v>
      </c>
      <c r="N22" s="6">
        <f t="shared" si="2"/>
        <v>1680.7210149216551</v>
      </c>
      <c r="O22" s="6">
        <v>32.763525495369002</v>
      </c>
      <c r="P22" s="6">
        <v>326.70976050561001</v>
      </c>
      <c r="Q22" s="6">
        <v>32.763525495369002</v>
      </c>
      <c r="R22" s="6">
        <f t="shared" si="3"/>
        <v>1638.1762747684502</v>
      </c>
      <c r="S22" s="6">
        <v>33.245913240162899</v>
      </c>
      <c r="T22" s="6">
        <v>326.98850776029701</v>
      </c>
      <c r="U22" s="6">
        <v>33.245913240162899</v>
      </c>
      <c r="V22" s="6">
        <f t="shared" si="4"/>
        <v>1662.295662008145</v>
      </c>
      <c r="W22" s="6">
        <v>33.836649152420101</v>
      </c>
      <c r="X22" s="6">
        <v>327.43305639763702</v>
      </c>
      <c r="Y22" s="6">
        <v>33.836649152420101</v>
      </c>
      <c r="Z22" s="6">
        <f t="shared" si="5"/>
        <v>1691.832457621005</v>
      </c>
      <c r="AA22" s="6">
        <v>0</v>
      </c>
      <c r="AB22" s="6">
        <v>0</v>
      </c>
      <c r="AC22" s="6">
        <v>0</v>
      </c>
      <c r="AD22" s="6">
        <f t="shared" si="6"/>
        <v>0</v>
      </c>
      <c r="AE22" s="6">
        <v>0</v>
      </c>
      <c r="AF22" s="6">
        <v>0</v>
      </c>
      <c r="AG22" s="6">
        <v>0</v>
      </c>
      <c r="AH22" s="6">
        <f t="shared" si="7"/>
        <v>0</v>
      </c>
      <c r="AI22" s="6">
        <v>26.104060228044698</v>
      </c>
      <c r="AJ22" s="6">
        <v>322.124898765718</v>
      </c>
      <c r="AK22" s="6">
        <v>26.104060228044698</v>
      </c>
      <c r="AL22" s="6">
        <f t="shared" si="8"/>
        <v>5220.81204560894</v>
      </c>
      <c r="AM22" s="6">
        <v>26.222820499263499</v>
      </c>
      <c r="AN22" s="6">
        <v>322.21826822504102</v>
      </c>
      <c r="AO22" s="6">
        <v>26.222820499263499</v>
      </c>
      <c r="AP22" s="6">
        <f t="shared" si="9"/>
        <v>5244.5640998526997</v>
      </c>
      <c r="AQ22" s="6">
        <v>39.064417409827598</v>
      </c>
      <c r="AR22" s="6">
        <v>331.09687036523201</v>
      </c>
      <c r="AS22" s="6">
        <v>39.064417409827598</v>
      </c>
      <c r="AT22" s="6">
        <v>39.064417409827598</v>
      </c>
      <c r="AU22" s="6">
        <v>36.324908985989502</v>
      </c>
      <c r="AV22" s="6">
        <v>329.42071621687501</v>
      </c>
      <c r="AW22" s="6">
        <v>36.324908985989502</v>
      </c>
      <c r="AX22" s="6">
        <v>36.324908985989502</v>
      </c>
    </row>
    <row r="23" spans="1:50" x14ac:dyDescent="0.25">
      <c r="A23" s="5" t="s">
        <v>51</v>
      </c>
      <c r="B23" s="5" t="s">
        <v>52</v>
      </c>
      <c r="C23" s="6">
        <v>39.647897646134297</v>
      </c>
      <c r="D23" s="6">
        <v>429.56962911964899</v>
      </c>
      <c r="E23" s="6">
        <v>39.647897646134297</v>
      </c>
      <c r="F23" s="6">
        <f t="shared" si="0"/>
        <v>1982.3948823067149</v>
      </c>
      <c r="G23" s="6">
        <v>0</v>
      </c>
      <c r="H23" s="6">
        <v>0</v>
      </c>
      <c r="I23" s="6">
        <v>0</v>
      </c>
      <c r="J23" s="6">
        <f t="shared" si="1"/>
        <v>0</v>
      </c>
      <c r="K23" s="6">
        <v>0</v>
      </c>
      <c r="L23" s="6">
        <v>0</v>
      </c>
      <c r="M23" s="6">
        <v>0</v>
      </c>
      <c r="N23" s="6">
        <f t="shared" si="2"/>
        <v>0</v>
      </c>
      <c r="O23" s="6">
        <v>0</v>
      </c>
      <c r="P23" s="6">
        <v>0</v>
      </c>
      <c r="Q23" s="6">
        <v>0</v>
      </c>
      <c r="R23" s="6">
        <f t="shared" si="3"/>
        <v>0</v>
      </c>
      <c r="S23" s="6">
        <v>0</v>
      </c>
      <c r="T23" s="6">
        <v>0</v>
      </c>
      <c r="U23" s="6">
        <v>0</v>
      </c>
      <c r="V23" s="6">
        <f t="shared" si="4"/>
        <v>0</v>
      </c>
      <c r="W23" s="6">
        <v>0</v>
      </c>
      <c r="X23" s="6">
        <v>0</v>
      </c>
      <c r="Y23" s="6">
        <v>0</v>
      </c>
      <c r="Z23" s="6">
        <f t="shared" si="5"/>
        <v>0</v>
      </c>
      <c r="AA23" s="6">
        <v>0</v>
      </c>
      <c r="AB23" s="6">
        <v>0</v>
      </c>
      <c r="AC23" s="6">
        <v>0</v>
      </c>
      <c r="AD23" s="6">
        <f t="shared" si="6"/>
        <v>0</v>
      </c>
      <c r="AE23" s="6">
        <v>0</v>
      </c>
      <c r="AF23" s="6">
        <v>0</v>
      </c>
      <c r="AG23" s="6">
        <v>0</v>
      </c>
      <c r="AH23" s="6">
        <f t="shared" si="7"/>
        <v>0</v>
      </c>
      <c r="AI23" s="6">
        <v>0</v>
      </c>
      <c r="AJ23" s="6">
        <v>0</v>
      </c>
      <c r="AK23" s="6">
        <v>0</v>
      </c>
      <c r="AL23" s="6">
        <f t="shared" si="8"/>
        <v>0</v>
      </c>
      <c r="AM23" s="6">
        <v>0</v>
      </c>
      <c r="AN23" s="6">
        <v>0</v>
      </c>
      <c r="AO23" s="6">
        <v>0</v>
      </c>
      <c r="AP23" s="6">
        <f t="shared" si="9"/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</row>
    <row r="24" spans="1:50" x14ac:dyDescent="0.25">
      <c r="A24" s="5" t="s">
        <v>53</v>
      </c>
      <c r="B24" s="5" t="s">
        <v>54</v>
      </c>
      <c r="C24" s="6">
        <v>0</v>
      </c>
      <c r="D24" s="6">
        <v>0</v>
      </c>
      <c r="E24" s="6">
        <v>0</v>
      </c>
      <c r="F24" s="6">
        <f t="shared" si="0"/>
        <v>0</v>
      </c>
      <c r="G24" s="6">
        <v>0</v>
      </c>
      <c r="H24" s="6">
        <v>0</v>
      </c>
      <c r="I24" s="6">
        <v>0</v>
      </c>
      <c r="J24" s="6">
        <f t="shared" si="1"/>
        <v>0</v>
      </c>
      <c r="K24" s="6">
        <v>0</v>
      </c>
      <c r="L24" s="6">
        <v>0</v>
      </c>
      <c r="M24" s="6">
        <v>0</v>
      </c>
      <c r="N24" s="6">
        <f t="shared" si="2"/>
        <v>0</v>
      </c>
      <c r="O24" s="6">
        <v>0</v>
      </c>
      <c r="P24" s="6">
        <v>0</v>
      </c>
      <c r="Q24" s="6">
        <v>0</v>
      </c>
      <c r="R24" s="6">
        <f t="shared" si="3"/>
        <v>0</v>
      </c>
      <c r="S24" s="6">
        <v>0</v>
      </c>
      <c r="T24" s="6">
        <v>0</v>
      </c>
      <c r="U24" s="6">
        <v>0</v>
      </c>
      <c r="V24" s="6">
        <f t="shared" si="4"/>
        <v>0</v>
      </c>
      <c r="W24" s="6">
        <v>0</v>
      </c>
      <c r="X24" s="6">
        <v>0</v>
      </c>
      <c r="Y24" s="6">
        <v>0</v>
      </c>
      <c r="Z24" s="6">
        <f t="shared" si="5"/>
        <v>0</v>
      </c>
      <c r="AA24" s="6">
        <v>0</v>
      </c>
      <c r="AB24" s="6">
        <v>0</v>
      </c>
      <c r="AC24" s="6">
        <v>0</v>
      </c>
      <c r="AD24" s="6">
        <f t="shared" si="6"/>
        <v>0</v>
      </c>
      <c r="AE24" s="6">
        <v>0</v>
      </c>
      <c r="AF24" s="6">
        <v>0</v>
      </c>
      <c r="AG24" s="6">
        <v>0</v>
      </c>
      <c r="AH24" s="6">
        <f t="shared" si="7"/>
        <v>0</v>
      </c>
      <c r="AI24" s="6">
        <v>0</v>
      </c>
      <c r="AJ24" s="6">
        <v>0</v>
      </c>
      <c r="AK24" s="6">
        <v>0</v>
      </c>
      <c r="AL24" s="6">
        <f t="shared" si="8"/>
        <v>0</v>
      </c>
      <c r="AM24" s="6">
        <v>0</v>
      </c>
      <c r="AN24" s="6">
        <v>0</v>
      </c>
      <c r="AO24" s="6">
        <v>0</v>
      </c>
      <c r="AP24" s="6">
        <f t="shared" si="9"/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</row>
    <row r="25" spans="1:50" x14ac:dyDescent="0.25">
      <c r="A25" s="5" t="s">
        <v>55</v>
      </c>
      <c r="B25" s="5" t="s">
        <v>54</v>
      </c>
      <c r="C25" s="6">
        <v>0</v>
      </c>
      <c r="D25" s="6">
        <v>0</v>
      </c>
      <c r="E25" s="6">
        <v>0</v>
      </c>
      <c r="F25" s="6">
        <f t="shared" si="0"/>
        <v>0</v>
      </c>
      <c r="G25" s="6">
        <v>0</v>
      </c>
      <c r="H25" s="6">
        <v>0</v>
      </c>
      <c r="I25" s="6">
        <v>0</v>
      </c>
      <c r="J25" s="6">
        <f t="shared" si="1"/>
        <v>0</v>
      </c>
      <c r="K25" s="6">
        <v>0</v>
      </c>
      <c r="L25" s="6">
        <v>0</v>
      </c>
      <c r="M25" s="6">
        <v>0</v>
      </c>
      <c r="N25" s="6">
        <f t="shared" si="2"/>
        <v>0</v>
      </c>
      <c r="O25" s="6">
        <v>0</v>
      </c>
      <c r="P25" s="6">
        <v>0</v>
      </c>
      <c r="Q25" s="6">
        <v>0</v>
      </c>
      <c r="R25" s="6">
        <f t="shared" si="3"/>
        <v>0</v>
      </c>
      <c r="S25" s="6">
        <v>0</v>
      </c>
      <c r="T25" s="6">
        <v>0</v>
      </c>
      <c r="U25" s="6">
        <v>0</v>
      </c>
      <c r="V25" s="6">
        <f t="shared" si="4"/>
        <v>0</v>
      </c>
      <c r="W25" s="6">
        <v>0</v>
      </c>
      <c r="X25" s="6">
        <v>0</v>
      </c>
      <c r="Y25" s="6">
        <v>0</v>
      </c>
      <c r="Z25" s="6">
        <f t="shared" si="5"/>
        <v>0</v>
      </c>
      <c r="AA25" s="6">
        <v>0</v>
      </c>
      <c r="AB25" s="6">
        <v>0</v>
      </c>
      <c r="AC25" s="6">
        <v>0</v>
      </c>
      <c r="AD25" s="6">
        <f t="shared" si="6"/>
        <v>0</v>
      </c>
      <c r="AE25" s="6">
        <v>0</v>
      </c>
      <c r="AF25" s="6">
        <v>0</v>
      </c>
      <c r="AG25" s="6">
        <v>0</v>
      </c>
      <c r="AH25" s="6">
        <f t="shared" si="7"/>
        <v>0</v>
      </c>
      <c r="AI25" s="6">
        <v>0</v>
      </c>
      <c r="AJ25" s="6">
        <v>0</v>
      </c>
      <c r="AK25" s="6">
        <v>0</v>
      </c>
      <c r="AL25" s="6">
        <f t="shared" si="8"/>
        <v>0</v>
      </c>
      <c r="AM25" s="6">
        <v>0</v>
      </c>
      <c r="AN25" s="6">
        <v>0</v>
      </c>
      <c r="AO25" s="6">
        <v>0</v>
      </c>
      <c r="AP25" s="6">
        <f t="shared" si="9"/>
        <v>0</v>
      </c>
      <c r="AQ25" s="6">
        <v>39.767350130200199</v>
      </c>
      <c r="AR25" s="6">
        <v>400.073022720974</v>
      </c>
      <c r="AS25" s="6">
        <v>39.767350130200199</v>
      </c>
      <c r="AT25" s="6">
        <v>39.767350130200199</v>
      </c>
      <c r="AU25" s="6">
        <v>40.114312815005803</v>
      </c>
      <c r="AV25" s="6">
        <v>400.302756759283</v>
      </c>
      <c r="AW25" s="6">
        <v>40.114312815005803</v>
      </c>
      <c r="AX25" s="6">
        <v>40.114312815005803</v>
      </c>
    </row>
    <row r="26" spans="1:50" x14ac:dyDescent="0.25">
      <c r="A26" s="5" t="s">
        <v>56</v>
      </c>
      <c r="B26" s="5" t="s">
        <v>54</v>
      </c>
      <c r="C26" s="6">
        <v>29.735753530212701</v>
      </c>
      <c r="D26" s="6">
        <v>447.49868599635499</v>
      </c>
      <c r="E26" s="6">
        <v>29.735753530212701</v>
      </c>
      <c r="F26" s="6">
        <f t="shared" si="0"/>
        <v>1486.787676510635</v>
      </c>
      <c r="G26" s="6">
        <v>29.529268058479399</v>
      </c>
      <c r="H26" s="6">
        <v>447.38582232230198</v>
      </c>
      <c r="I26" s="6">
        <v>29.529268058479399</v>
      </c>
      <c r="J26" s="6">
        <f t="shared" si="1"/>
        <v>1476.4634029239699</v>
      </c>
      <c r="K26" s="6">
        <v>28.972572168902499</v>
      </c>
      <c r="L26" s="6">
        <v>447.04806278265397</v>
      </c>
      <c r="M26" s="6">
        <v>28.972572168902499</v>
      </c>
      <c r="N26" s="6">
        <f t="shared" si="2"/>
        <v>1448.6286084451249</v>
      </c>
      <c r="O26" s="6">
        <v>29.024662101843699</v>
      </c>
      <c r="P26" s="6">
        <v>447.10907338826098</v>
      </c>
      <c r="Q26" s="6">
        <v>29.024662101843699</v>
      </c>
      <c r="R26" s="6">
        <f t="shared" si="3"/>
        <v>1451.233105092185</v>
      </c>
      <c r="S26" s="6">
        <v>28.919647524397298</v>
      </c>
      <c r="T26" s="6">
        <v>447.05153507212498</v>
      </c>
      <c r="U26" s="6">
        <v>28.919647524397298</v>
      </c>
      <c r="V26" s="6">
        <f t="shared" si="4"/>
        <v>1445.9823762198648</v>
      </c>
      <c r="W26" s="6">
        <v>29.209706396791798</v>
      </c>
      <c r="X26" s="6">
        <v>447.213528124557</v>
      </c>
      <c r="Y26" s="6">
        <v>29.209706396791798</v>
      </c>
      <c r="Z26" s="6">
        <f t="shared" si="5"/>
        <v>1460.4853198395899</v>
      </c>
      <c r="AA26" s="6">
        <v>0</v>
      </c>
      <c r="AB26" s="6">
        <v>0</v>
      </c>
      <c r="AC26" s="6">
        <v>0</v>
      </c>
      <c r="AD26" s="6">
        <f t="shared" si="6"/>
        <v>0</v>
      </c>
      <c r="AE26" s="6">
        <v>0</v>
      </c>
      <c r="AF26" s="6">
        <v>0</v>
      </c>
      <c r="AG26" s="6">
        <v>0</v>
      </c>
      <c r="AH26" s="6">
        <f t="shared" si="7"/>
        <v>0</v>
      </c>
      <c r="AI26" s="6">
        <v>28.032333423342699</v>
      </c>
      <c r="AJ26" s="6">
        <v>446.56536867028302</v>
      </c>
      <c r="AK26" s="6">
        <v>28.032333423342699</v>
      </c>
      <c r="AL26" s="6">
        <f t="shared" si="8"/>
        <v>5606.4666846685395</v>
      </c>
      <c r="AM26" s="6">
        <v>27.980186447644002</v>
      </c>
      <c r="AN26" s="6">
        <v>446.54025100641599</v>
      </c>
      <c r="AO26" s="6">
        <v>27.980186447644002</v>
      </c>
      <c r="AP26" s="6">
        <f t="shared" si="9"/>
        <v>5596.0372895288001</v>
      </c>
      <c r="AQ26" s="6">
        <v>29.755537749799501</v>
      </c>
      <c r="AR26" s="6">
        <v>447.50952592647502</v>
      </c>
      <c r="AS26" s="6">
        <v>29.755537749799501</v>
      </c>
      <c r="AT26" s="6">
        <v>29.755537749799501</v>
      </c>
      <c r="AU26" s="6">
        <v>29.184134636818101</v>
      </c>
      <c r="AV26" s="6">
        <v>447.22304995086</v>
      </c>
      <c r="AW26" s="6">
        <v>29.184134636818101</v>
      </c>
      <c r="AX26" s="6">
        <v>29.184134636818101</v>
      </c>
    </row>
    <row r="27" spans="1:50" x14ac:dyDescent="0.25">
      <c r="A27" s="5" t="s">
        <v>57</v>
      </c>
      <c r="B27" s="5" t="s">
        <v>54</v>
      </c>
      <c r="C27" s="6">
        <v>35.948399766572003</v>
      </c>
      <c r="D27" s="6">
        <v>491.31325893854802</v>
      </c>
      <c r="E27" s="6">
        <v>35.948399766572003</v>
      </c>
      <c r="F27" s="6">
        <f t="shared" si="0"/>
        <v>1797.4199883286001</v>
      </c>
      <c r="G27" s="6">
        <v>35.410398911041398</v>
      </c>
      <c r="H27" s="6">
        <v>491.070318248256</v>
      </c>
      <c r="I27" s="6">
        <v>35.410398911041398</v>
      </c>
      <c r="J27" s="6">
        <f t="shared" si="1"/>
        <v>1770.5199455520699</v>
      </c>
      <c r="K27" s="6">
        <v>35.229452388686397</v>
      </c>
      <c r="L27" s="6">
        <v>490.95269612749001</v>
      </c>
      <c r="M27" s="6">
        <v>35.229452388686397</v>
      </c>
      <c r="N27" s="6">
        <f t="shared" si="2"/>
        <v>1761.4726194343198</v>
      </c>
      <c r="O27" s="6">
        <v>35.242652593594201</v>
      </c>
      <c r="P27" s="6">
        <v>490.95942450019402</v>
      </c>
      <c r="Q27" s="6">
        <v>35.242652593594201</v>
      </c>
      <c r="R27" s="6">
        <f t="shared" si="3"/>
        <v>1762.1326296797101</v>
      </c>
      <c r="S27" s="6">
        <v>35.261841396246801</v>
      </c>
      <c r="T27" s="6">
        <v>490.96711098190798</v>
      </c>
      <c r="U27" s="6">
        <v>35.261841396246801</v>
      </c>
      <c r="V27" s="6">
        <f t="shared" si="4"/>
        <v>1763.09206981234</v>
      </c>
      <c r="W27" s="6">
        <v>35.252902433779397</v>
      </c>
      <c r="X27" s="6">
        <v>490.974636608678</v>
      </c>
      <c r="Y27" s="6">
        <v>35.252902433779397</v>
      </c>
      <c r="Z27" s="6">
        <f t="shared" si="5"/>
        <v>1762.6451216889698</v>
      </c>
      <c r="AA27" s="6">
        <v>0</v>
      </c>
      <c r="AB27" s="6">
        <v>0</v>
      </c>
      <c r="AC27" s="6">
        <v>0</v>
      </c>
      <c r="AD27" s="6">
        <f t="shared" si="6"/>
        <v>0</v>
      </c>
      <c r="AE27" s="6">
        <v>0</v>
      </c>
      <c r="AF27" s="6">
        <v>0</v>
      </c>
      <c r="AG27" s="6">
        <v>0</v>
      </c>
      <c r="AH27" s="6">
        <f t="shared" si="7"/>
        <v>0</v>
      </c>
      <c r="AI27" s="6">
        <v>0</v>
      </c>
      <c r="AJ27" s="6">
        <v>0</v>
      </c>
      <c r="AK27" s="6">
        <v>0</v>
      </c>
      <c r="AL27" s="6">
        <f t="shared" si="8"/>
        <v>0</v>
      </c>
      <c r="AM27" s="6">
        <v>0</v>
      </c>
      <c r="AN27" s="6">
        <v>0</v>
      </c>
      <c r="AO27" s="6">
        <v>0</v>
      </c>
      <c r="AP27" s="6">
        <f t="shared" si="9"/>
        <v>0</v>
      </c>
      <c r="AQ27" s="6">
        <v>35.645164977489799</v>
      </c>
      <c r="AR27" s="6">
        <v>491.16118217837698</v>
      </c>
      <c r="AS27" s="6">
        <v>35.645164977489799</v>
      </c>
      <c r="AT27" s="6">
        <v>35.645164977489799</v>
      </c>
      <c r="AU27" s="6">
        <v>35.462287854753797</v>
      </c>
      <c r="AV27" s="6">
        <v>491.06946657932201</v>
      </c>
      <c r="AW27" s="6">
        <v>35.462287854753797</v>
      </c>
      <c r="AX27" s="6">
        <v>35.462287854753797</v>
      </c>
    </row>
    <row r="28" spans="1:50" x14ac:dyDescent="0.25">
      <c r="A28" s="5" t="s">
        <v>58</v>
      </c>
      <c r="B28" s="5" t="s">
        <v>59</v>
      </c>
      <c r="C28" s="6">
        <v>0</v>
      </c>
      <c r="D28" s="6">
        <v>0</v>
      </c>
      <c r="E28" s="6">
        <v>0</v>
      </c>
      <c r="F28" s="6">
        <f t="shared" si="0"/>
        <v>0</v>
      </c>
      <c r="G28" s="6">
        <v>0</v>
      </c>
      <c r="H28" s="6">
        <v>0</v>
      </c>
      <c r="I28" s="6">
        <v>0</v>
      </c>
      <c r="J28" s="6">
        <f t="shared" si="1"/>
        <v>0</v>
      </c>
      <c r="K28" s="6">
        <v>0</v>
      </c>
      <c r="L28" s="6">
        <v>0</v>
      </c>
      <c r="M28" s="6">
        <v>0</v>
      </c>
      <c r="N28" s="6">
        <f t="shared" si="2"/>
        <v>0</v>
      </c>
      <c r="O28" s="6">
        <v>0</v>
      </c>
      <c r="P28" s="6">
        <v>0</v>
      </c>
      <c r="Q28" s="6">
        <v>0</v>
      </c>
      <c r="R28" s="6">
        <f t="shared" si="3"/>
        <v>0</v>
      </c>
      <c r="S28" s="6">
        <v>0</v>
      </c>
      <c r="T28" s="6">
        <v>0</v>
      </c>
      <c r="U28" s="6">
        <v>0</v>
      </c>
      <c r="V28" s="6">
        <f t="shared" si="4"/>
        <v>0</v>
      </c>
      <c r="W28" s="6">
        <v>0</v>
      </c>
      <c r="X28" s="6">
        <v>0</v>
      </c>
      <c r="Y28" s="6">
        <v>0</v>
      </c>
      <c r="Z28" s="6">
        <f t="shared" si="5"/>
        <v>0</v>
      </c>
      <c r="AA28" s="6">
        <v>0</v>
      </c>
      <c r="AB28" s="6">
        <v>0</v>
      </c>
      <c r="AC28" s="6">
        <v>0</v>
      </c>
      <c r="AD28" s="6">
        <f t="shared" si="6"/>
        <v>0</v>
      </c>
      <c r="AE28" s="6">
        <v>0</v>
      </c>
      <c r="AF28" s="6">
        <v>0</v>
      </c>
      <c r="AG28" s="6">
        <v>0</v>
      </c>
      <c r="AH28" s="6">
        <f t="shared" si="7"/>
        <v>0</v>
      </c>
      <c r="AI28" s="6">
        <v>0</v>
      </c>
      <c r="AJ28" s="6">
        <v>0</v>
      </c>
      <c r="AK28" s="6">
        <v>0</v>
      </c>
      <c r="AL28" s="6">
        <f t="shared" si="8"/>
        <v>0</v>
      </c>
      <c r="AM28" s="6">
        <v>0</v>
      </c>
      <c r="AN28" s="6">
        <v>0</v>
      </c>
      <c r="AO28" s="6">
        <v>0</v>
      </c>
      <c r="AP28" s="6">
        <f t="shared" si="9"/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</row>
    <row r="29" spans="1:50" x14ac:dyDescent="0.25">
      <c r="A29" s="5" t="s">
        <v>60</v>
      </c>
      <c r="B29" s="5" t="s">
        <v>61</v>
      </c>
      <c r="C29" s="6">
        <v>0</v>
      </c>
      <c r="D29" s="6">
        <v>0</v>
      </c>
      <c r="E29" s="6">
        <v>0</v>
      </c>
      <c r="F29" s="6">
        <f t="shared" si="0"/>
        <v>0</v>
      </c>
      <c r="G29" s="6">
        <v>0</v>
      </c>
      <c r="H29" s="6">
        <v>0</v>
      </c>
      <c r="I29" s="6">
        <v>0</v>
      </c>
      <c r="J29" s="6">
        <f t="shared" si="1"/>
        <v>0</v>
      </c>
      <c r="K29" s="6">
        <v>0</v>
      </c>
      <c r="L29" s="6">
        <v>0</v>
      </c>
      <c r="M29" s="6">
        <v>0</v>
      </c>
      <c r="N29" s="6">
        <f t="shared" si="2"/>
        <v>0</v>
      </c>
      <c r="O29" s="6">
        <v>0</v>
      </c>
      <c r="P29" s="6">
        <v>0</v>
      </c>
      <c r="Q29" s="6">
        <v>0</v>
      </c>
      <c r="R29" s="6">
        <f t="shared" si="3"/>
        <v>0</v>
      </c>
      <c r="S29" s="6">
        <v>0</v>
      </c>
      <c r="T29" s="6">
        <v>0</v>
      </c>
      <c r="U29" s="6">
        <v>0</v>
      </c>
      <c r="V29" s="6">
        <f t="shared" si="4"/>
        <v>0</v>
      </c>
      <c r="W29" s="6">
        <v>0</v>
      </c>
      <c r="X29" s="6">
        <v>0</v>
      </c>
      <c r="Y29" s="6">
        <v>0</v>
      </c>
      <c r="Z29" s="6">
        <f t="shared" si="5"/>
        <v>0</v>
      </c>
      <c r="AA29" s="6">
        <v>0</v>
      </c>
      <c r="AB29" s="6">
        <v>0</v>
      </c>
      <c r="AC29" s="6">
        <v>0</v>
      </c>
      <c r="AD29" s="6">
        <f t="shared" si="6"/>
        <v>0</v>
      </c>
      <c r="AE29" s="6">
        <v>0</v>
      </c>
      <c r="AF29" s="6">
        <v>0</v>
      </c>
      <c r="AG29" s="6">
        <v>0</v>
      </c>
      <c r="AH29" s="6">
        <f t="shared" si="7"/>
        <v>0</v>
      </c>
      <c r="AI29" s="6">
        <v>0</v>
      </c>
      <c r="AJ29" s="6">
        <v>0</v>
      </c>
      <c r="AK29" s="6">
        <v>0</v>
      </c>
      <c r="AL29" s="6">
        <f t="shared" si="8"/>
        <v>0</v>
      </c>
      <c r="AM29" s="6">
        <v>0</v>
      </c>
      <c r="AN29" s="6">
        <v>0</v>
      </c>
      <c r="AO29" s="6">
        <v>0</v>
      </c>
      <c r="AP29" s="6">
        <f t="shared" si="9"/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</row>
    <row r="30" spans="1:50" x14ac:dyDescent="0.25">
      <c r="A30" s="5" t="s">
        <v>62</v>
      </c>
      <c r="B30" s="5" t="s">
        <v>63</v>
      </c>
      <c r="C30" s="6">
        <v>0</v>
      </c>
      <c r="D30" s="6">
        <v>0</v>
      </c>
      <c r="E30" s="6">
        <v>0</v>
      </c>
      <c r="F30" s="6">
        <f t="shared" si="0"/>
        <v>0</v>
      </c>
      <c r="G30" s="6">
        <v>0</v>
      </c>
      <c r="H30" s="6">
        <v>0</v>
      </c>
      <c r="I30" s="6">
        <v>0</v>
      </c>
      <c r="J30" s="6">
        <f t="shared" si="1"/>
        <v>0</v>
      </c>
      <c r="K30" s="6">
        <v>0</v>
      </c>
      <c r="L30" s="6">
        <v>0</v>
      </c>
      <c r="M30" s="6">
        <v>0</v>
      </c>
      <c r="N30" s="6">
        <f t="shared" si="2"/>
        <v>0</v>
      </c>
      <c r="O30" s="6">
        <v>0</v>
      </c>
      <c r="P30" s="6">
        <v>0</v>
      </c>
      <c r="Q30" s="6">
        <v>0</v>
      </c>
      <c r="R30" s="6">
        <f t="shared" si="3"/>
        <v>0</v>
      </c>
      <c r="S30" s="6">
        <v>0</v>
      </c>
      <c r="T30" s="6">
        <v>0</v>
      </c>
      <c r="U30" s="6">
        <v>0</v>
      </c>
      <c r="V30" s="6">
        <f t="shared" si="4"/>
        <v>0</v>
      </c>
      <c r="W30" s="6">
        <v>0</v>
      </c>
      <c r="X30" s="6">
        <v>0</v>
      </c>
      <c r="Y30" s="6">
        <v>0</v>
      </c>
      <c r="Z30" s="6">
        <f t="shared" si="5"/>
        <v>0</v>
      </c>
      <c r="AA30" s="6">
        <v>0</v>
      </c>
      <c r="AB30" s="6">
        <v>0</v>
      </c>
      <c r="AC30" s="6">
        <v>0</v>
      </c>
      <c r="AD30" s="6">
        <f t="shared" si="6"/>
        <v>0</v>
      </c>
      <c r="AE30" s="6">
        <v>0</v>
      </c>
      <c r="AF30" s="6">
        <v>0</v>
      </c>
      <c r="AG30" s="6">
        <v>0</v>
      </c>
      <c r="AH30" s="6">
        <f t="shared" si="7"/>
        <v>0</v>
      </c>
      <c r="AI30" s="6">
        <v>0</v>
      </c>
      <c r="AJ30" s="6">
        <v>0</v>
      </c>
      <c r="AK30" s="6">
        <v>0</v>
      </c>
      <c r="AL30" s="6">
        <f t="shared" si="8"/>
        <v>0</v>
      </c>
      <c r="AM30" s="6">
        <v>0</v>
      </c>
      <c r="AN30" s="6">
        <v>0</v>
      </c>
      <c r="AO30" s="6">
        <v>0</v>
      </c>
      <c r="AP30" s="6">
        <f t="shared" si="9"/>
        <v>0</v>
      </c>
      <c r="AQ30" s="6">
        <v>34.533435168476501</v>
      </c>
      <c r="AR30" s="6">
        <v>0</v>
      </c>
      <c r="AS30" s="6">
        <v>34.533435168476501</v>
      </c>
      <c r="AT30" s="6">
        <v>34.533435168476501</v>
      </c>
      <c r="AU30" s="6">
        <v>34.551833762673603</v>
      </c>
      <c r="AV30" s="6">
        <v>555.27917190092398</v>
      </c>
      <c r="AW30" s="6">
        <v>34.551833762673603</v>
      </c>
      <c r="AX30" s="6">
        <v>34.551833762673603</v>
      </c>
    </row>
    <row r="31" spans="1:50" x14ac:dyDescent="0.25">
      <c r="A31" s="5" t="s">
        <v>64</v>
      </c>
      <c r="B31" s="5" t="s">
        <v>63</v>
      </c>
      <c r="C31" s="6">
        <v>0</v>
      </c>
      <c r="D31" s="6">
        <v>0</v>
      </c>
      <c r="E31" s="6">
        <v>0</v>
      </c>
      <c r="F31" s="6">
        <f t="shared" si="0"/>
        <v>0</v>
      </c>
      <c r="G31" s="6">
        <v>0</v>
      </c>
      <c r="H31" s="6">
        <v>0</v>
      </c>
      <c r="I31" s="6">
        <v>0</v>
      </c>
      <c r="J31" s="6">
        <f t="shared" si="1"/>
        <v>0</v>
      </c>
      <c r="K31" s="6">
        <v>0</v>
      </c>
      <c r="L31" s="6">
        <v>0</v>
      </c>
      <c r="M31" s="6">
        <v>0</v>
      </c>
      <c r="N31" s="6">
        <f t="shared" si="2"/>
        <v>0</v>
      </c>
      <c r="O31" s="6">
        <v>0</v>
      </c>
      <c r="P31" s="6">
        <v>0</v>
      </c>
      <c r="Q31" s="6">
        <v>0</v>
      </c>
      <c r="R31" s="6">
        <f t="shared" si="3"/>
        <v>0</v>
      </c>
      <c r="S31" s="6">
        <v>0</v>
      </c>
      <c r="T31" s="6">
        <v>0</v>
      </c>
      <c r="U31" s="6">
        <v>0</v>
      </c>
      <c r="V31" s="6">
        <f t="shared" si="4"/>
        <v>0</v>
      </c>
      <c r="W31" s="6">
        <v>0</v>
      </c>
      <c r="X31" s="6">
        <v>0</v>
      </c>
      <c r="Y31" s="6">
        <v>0</v>
      </c>
      <c r="Z31" s="6">
        <f t="shared" si="5"/>
        <v>0</v>
      </c>
      <c r="AA31" s="6">
        <v>0</v>
      </c>
      <c r="AB31" s="6">
        <v>0</v>
      </c>
      <c r="AC31" s="6">
        <v>0</v>
      </c>
      <c r="AD31" s="6">
        <f t="shared" si="6"/>
        <v>0</v>
      </c>
      <c r="AE31" s="6">
        <v>0</v>
      </c>
      <c r="AF31" s="6">
        <v>0</v>
      </c>
      <c r="AG31" s="6">
        <v>0</v>
      </c>
      <c r="AH31" s="6">
        <f t="shared" si="7"/>
        <v>0</v>
      </c>
      <c r="AI31" s="6">
        <v>0</v>
      </c>
      <c r="AJ31" s="6">
        <v>0</v>
      </c>
      <c r="AK31" s="6">
        <v>0</v>
      </c>
      <c r="AL31" s="6">
        <f t="shared" si="8"/>
        <v>0</v>
      </c>
      <c r="AM31" s="6">
        <v>0</v>
      </c>
      <c r="AN31" s="6">
        <v>0</v>
      </c>
      <c r="AO31" s="6">
        <v>0</v>
      </c>
      <c r="AP31" s="6">
        <f t="shared" si="9"/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</row>
    <row r="32" spans="1:50" x14ac:dyDescent="0.25">
      <c r="A32" s="5" t="s">
        <v>65</v>
      </c>
      <c r="B32" s="5" t="s">
        <v>63</v>
      </c>
      <c r="C32" s="6">
        <v>0</v>
      </c>
      <c r="D32" s="6">
        <v>0</v>
      </c>
      <c r="E32" s="6">
        <v>0</v>
      </c>
      <c r="F32" s="6">
        <f t="shared" si="0"/>
        <v>0</v>
      </c>
      <c r="G32" s="6">
        <v>0</v>
      </c>
      <c r="H32" s="6">
        <v>0</v>
      </c>
      <c r="I32" s="6">
        <v>0</v>
      </c>
      <c r="J32" s="6">
        <f t="shared" si="1"/>
        <v>0</v>
      </c>
      <c r="K32" s="6">
        <v>0</v>
      </c>
      <c r="L32" s="6">
        <v>0</v>
      </c>
      <c r="M32" s="6">
        <v>0</v>
      </c>
      <c r="N32" s="6">
        <f t="shared" si="2"/>
        <v>0</v>
      </c>
      <c r="O32" s="6">
        <v>0</v>
      </c>
      <c r="P32" s="6">
        <v>0</v>
      </c>
      <c r="Q32" s="6">
        <v>0</v>
      </c>
      <c r="R32" s="6">
        <f t="shared" si="3"/>
        <v>0</v>
      </c>
      <c r="S32" s="6">
        <v>0</v>
      </c>
      <c r="T32" s="6">
        <v>0</v>
      </c>
      <c r="U32" s="6">
        <v>0</v>
      </c>
      <c r="V32" s="6">
        <f t="shared" si="4"/>
        <v>0</v>
      </c>
      <c r="W32" s="6">
        <v>0</v>
      </c>
      <c r="X32" s="6">
        <v>0</v>
      </c>
      <c r="Y32" s="6">
        <v>0</v>
      </c>
      <c r="Z32" s="6">
        <f t="shared" si="5"/>
        <v>0</v>
      </c>
      <c r="AA32" s="6">
        <v>0</v>
      </c>
      <c r="AB32" s="6">
        <v>0</v>
      </c>
      <c r="AC32" s="6">
        <v>0</v>
      </c>
      <c r="AD32" s="6">
        <f t="shared" si="6"/>
        <v>0</v>
      </c>
      <c r="AE32" s="6">
        <v>0</v>
      </c>
      <c r="AF32" s="6">
        <v>0</v>
      </c>
      <c r="AG32" s="6">
        <v>0</v>
      </c>
      <c r="AH32" s="6">
        <f t="shared" si="7"/>
        <v>0</v>
      </c>
      <c r="AI32" s="6">
        <v>0</v>
      </c>
      <c r="AJ32" s="6">
        <v>0</v>
      </c>
      <c r="AK32" s="6">
        <v>0</v>
      </c>
      <c r="AL32" s="6">
        <f t="shared" si="8"/>
        <v>0</v>
      </c>
      <c r="AM32" s="6">
        <v>0</v>
      </c>
      <c r="AN32" s="6">
        <v>0</v>
      </c>
      <c r="AO32" s="6">
        <v>0</v>
      </c>
      <c r="AP32" s="6">
        <f t="shared" si="9"/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</row>
    <row r="33" spans="1:50" x14ac:dyDescent="0.25">
      <c r="A33" s="5" t="s">
        <v>66</v>
      </c>
      <c r="B33" s="5" t="s">
        <v>63</v>
      </c>
      <c r="C33" s="6">
        <v>0</v>
      </c>
      <c r="D33" s="6">
        <v>0</v>
      </c>
      <c r="E33" s="6">
        <v>0</v>
      </c>
      <c r="F33" s="6">
        <f t="shared" si="0"/>
        <v>0</v>
      </c>
      <c r="G33" s="6">
        <v>0</v>
      </c>
      <c r="H33" s="6">
        <v>0</v>
      </c>
      <c r="I33" s="6">
        <v>0</v>
      </c>
      <c r="J33" s="6">
        <f t="shared" si="1"/>
        <v>0</v>
      </c>
      <c r="K33" s="6">
        <v>0</v>
      </c>
      <c r="L33" s="6">
        <v>0</v>
      </c>
      <c r="M33" s="6">
        <v>0</v>
      </c>
      <c r="N33" s="6">
        <f t="shared" si="2"/>
        <v>0</v>
      </c>
      <c r="O33" s="6">
        <v>0</v>
      </c>
      <c r="P33" s="6">
        <v>0</v>
      </c>
      <c r="Q33" s="6">
        <v>0</v>
      </c>
      <c r="R33" s="6">
        <f t="shared" si="3"/>
        <v>0</v>
      </c>
      <c r="S33" s="6">
        <v>0</v>
      </c>
      <c r="T33" s="6">
        <v>0</v>
      </c>
      <c r="U33" s="6">
        <v>0</v>
      </c>
      <c r="V33" s="6">
        <f t="shared" si="4"/>
        <v>0</v>
      </c>
      <c r="W33" s="6">
        <v>0</v>
      </c>
      <c r="X33" s="6">
        <v>0</v>
      </c>
      <c r="Y33" s="6">
        <v>0</v>
      </c>
      <c r="Z33" s="6">
        <f t="shared" si="5"/>
        <v>0</v>
      </c>
      <c r="AA33" s="6">
        <v>0</v>
      </c>
      <c r="AB33" s="6">
        <v>0</v>
      </c>
      <c r="AC33" s="6">
        <v>0</v>
      </c>
      <c r="AD33" s="6">
        <f t="shared" si="6"/>
        <v>0</v>
      </c>
      <c r="AE33" s="6">
        <v>0</v>
      </c>
      <c r="AF33" s="6">
        <v>0</v>
      </c>
      <c r="AG33" s="6">
        <v>0</v>
      </c>
      <c r="AH33" s="6">
        <f t="shared" si="7"/>
        <v>0</v>
      </c>
      <c r="AI33" s="6">
        <v>0</v>
      </c>
      <c r="AJ33" s="6">
        <v>0</v>
      </c>
      <c r="AK33" s="6">
        <v>0</v>
      </c>
      <c r="AL33" s="6">
        <f t="shared" si="8"/>
        <v>0</v>
      </c>
      <c r="AM33" s="6">
        <v>0</v>
      </c>
      <c r="AN33" s="6">
        <v>0</v>
      </c>
      <c r="AO33" s="6">
        <v>0</v>
      </c>
      <c r="AP33" s="6">
        <f t="shared" si="9"/>
        <v>0</v>
      </c>
      <c r="AQ33" s="6">
        <v>19.923860180601</v>
      </c>
      <c r="AR33" s="6">
        <v>0</v>
      </c>
      <c r="AS33" s="6">
        <v>19.923860180601</v>
      </c>
      <c r="AT33" s="6">
        <v>19.923860180601</v>
      </c>
      <c r="AU33" s="6">
        <v>0</v>
      </c>
      <c r="AV33" s="6">
        <v>0</v>
      </c>
      <c r="AW33" s="6">
        <v>0</v>
      </c>
      <c r="AX33" s="6">
        <v>0</v>
      </c>
    </row>
    <row r="34" spans="1:50" x14ac:dyDescent="0.25">
      <c r="A34" s="5" t="s">
        <v>67</v>
      </c>
      <c r="B34" s="5" t="s">
        <v>63</v>
      </c>
      <c r="C34" s="6">
        <v>0</v>
      </c>
      <c r="D34" s="6">
        <v>0</v>
      </c>
      <c r="E34" s="6">
        <v>0</v>
      </c>
      <c r="F34" s="6">
        <f t="shared" si="0"/>
        <v>0</v>
      </c>
      <c r="G34" s="6">
        <v>0</v>
      </c>
      <c r="H34" s="6">
        <v>0</v>
      </c>
      <c r="I34" s="6">
        <v>0</v>
      </c>
      <c r="J34" s="6">
        <f t="shared" si="1"/>
        <v>0</v>
      </c>
      <c r="K34" s="6">
        <v>0</v>
      </c>
      <c r="L34" s="6">
        <v>0</v>
      </c>
      <c r="M34" s="6">
        <v>0</v>
      </c>
      <c r="N34" s="6">
        <f t="shared" si="2"/>
        <v>0</v>
      </c>
      <c r="O34" s="6">
        <v>0</v>
      </c>
      <c r="P34" s="6">
        <v>0</v>
      </c>
      <c r="Q34" s="6">
        <v>0</v>
      </c>
      <c r="R34" s="6">
        <f t="shared" si="3"/>
        <v>0</v>
      </c>
      <c r="S34" s="6">
        <v>0</v>
      </c>
      <c r="T34" s="6">
        <v>0</v>
      </c>
      <c r="U34" s="6">
        <v>0</v>
      </c>
      <c r="V34" s="6">
        <f t="shared" si="4"/>
        <v>0</v>
      </c>
      <c r="W34" s="6">
        <v>0</v>
      </c>
      <c r="X34" s="6">
        <v>0</v>
      </c>
      <c r="Y34" s="6">
        <v>0</v>
      </c>
      <c r="Z34" s="6">
        <f t="shared" si="5"/>
        <v>0</v>
      </c>
      <c r="AA34" s="6">
        <v>0</v>
      </c>
      <c r="AB34" s="6">
        <v>0</v>
      </c>
      <c r="AC34" s="6">
        <v>0</v>
      </c>
      <c r="AD34" s="6">
        <f t="shared" si="6"/>
        <v>0</v>
      </c>
      <c r="AE34" s="6">
        <v>0</v>
      </c>
      <c r="AF34" s="6">
        <v>0</v>
      </c>
      <c r="AG34" s="6">
        <v>0</v>
      </c>
      <c r="AH34" s="6">
        <f t="shared" si="7"/>
        <v>0</v>
      </c>
      <c r="AI34" s="6">
        <v>0</v>
      </c>
      <c r="AJ34" s="6">
        <v>0</v>
      </c>
      <c r="AK34" s="6">
        <v>0</v>
      </c>
      <c r="AL34" s="6">
        <f t="shared" si="8"/>
        <v>0</v>
      </c>
      <c r="AM34" s="6">
        <v>0</v>
      </c>
      <c r="AN34" s="6">
        <v>0</v>
      </c>
      <c r="AO34" s="6">
        <v>0</v>
      </c>
      <c r="AP34" s="6">
        <f t="shared" si="9"/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</row>
    <row r="35" spans="1:50" x14ac:dyDescent="0.25">
      <c r="A35" s="5" t="s">
        <v>68</v>
      </c>
      <c r="B35" s="5" t="s">
        <v>63</v>
      </c>
      <c r="C35" s="6">
        <v>0</v>
      </c>
      <c r="D35" s="6">
        <v>0</v>
      </c>
      <c r="E35" s="6">
        <v>0</v>
      </c>
      <c r="F35" s="6">
        <f t="shared" si="0"/>
        <v>0</v>
      </c>
      <c r="G35" s="6">
        <v>0</v>
      </c>
      <c r="H35" s="6">
        <v>0</v>
      </c>
      <c r="I35" s="6">
        <v>0</v>
      </c>
      <c r="J35" s="6">
        <f t="shared" si="1"/>
        <v>0</v>
      </c>
      <c r="K35" s="6">
        <v>0</v>
      </c>
      <c r="L35" s="6">
        <v>0</v>
      </c>
      <c r="M35" s="6">
        <v>0</v>
      </c>
      <c r="N35" s="6">
        <f t="shared" si="2"/>
        <v>0</v>
      </c>
      <c r="O35" s="6">
        <v>0</v>
      </c>
      <c r="P35" s="6">
        <v>0</v>
      </c>
      <c r="Q35" s="6">
        <v>0</v>
      </c>
      <c r="R35" s="6">
        <f t="shared" si="3"/>
        <v>0</v>
      </c>
      <c r="S35" s="6">
        <v>0</v>
      </c>
      <c r="T35" s="6">
        <v>0</v>
      </c>
      <c r="U35" s="6">
        <v>0</v>
      </c>
      <c r="V35" s="6">
        <f t="shared" si="4"/>
        <v>0</v>
      </c>
      <c r="W35" s="6">
        <v>0</v>
      </c>
      <c r="X35" s="6">
        <v>0</v>
      </c>
      <c r="Y35" s="6">
        <v>0</v>
      </c>
      <c r="Z35" s="6">
        <f t="shared" si="5"/>
        <v>0</v>
      </c>
      <c r="AA35" s="6">
        <v>0</v>
      </c>
      <c r="AB35" s="6">
        <v>0</v>
      </c>
      <c r="AC35" s="6">
        <v>0</v>
      </c>
      <c r="AD35" s="6">
        <f t="shared" si="6"/>
        <v>0</v>
      </c>
      <c r="AE35" s="6">
        <v>0</v>
      </c>
      <c r="AF35" s="6">
        <v>0</v>
      </c>
      <c r="AG35" s="6">
        <v>0</v>
      </c>
      <c r="AH35" s="6">
        <f t="shared" si="7"/>
        <v>0</v>
      </c>
      <c r="AI35" s="6">
        <v>0</v>
      </c>
      <c r="AJ35" s="6">
        <v>0</v>
      </c>
      <c r="AK35" s="6">
        <v>0</v>
      </c>
      <c r="AL35" s="6">
        <f t="shared" si="8"/>
        <v>0</v>
      </c>
      <c r="AM35" s="6">
        <v>0</v>
      </c>
      <c r="AN35" s="6">
        <v>0</v>
      </c>
      <c r="AO35" s="6">
        <v>0</v>
      </c>
      <c r="AP35" s="6">
        <f t="shared" si="9"/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</row>
    <row r="36" spans="1:50" x14ac:dyDescent="0.25">
      <c r="A36" s="5" t="s">
        <v>69</v>
      </c>
      <c r="B36" s="5" t="s">
        <v>70</v>
      </c>
      <c r="C36" s="6">
        <v>0</v>
      </c>
      <c r="D36" s="6">
        <v>0</v>
      </c>
      <c r="E36" s="6">
        <v>0</v>
      </c>
      <c r="F36" s="6">
        <f t="shared" si="0"/>
        <v>0</v>
      </c>
      <c r="G36" s="6">
        <v>0</v>
      </c>
      <c r="H36" s="6">
        <v>0</v>
      </c>
      <c r="I36" s="6">
        <v>0</v>
      </c>
      <c r="J36" s="6">
        <f t="shared" si="1"/>
        <v>0</v>
      </c>
      <c r="K36" s="6">
        <v>0</v>
      </c>
      <c r="L36" s="6">
        <v>0</v>
      </c>
      <c r="M36" s="6">
        <v>0</v>
      </c>
      <c r="N36" s="6">
        <f t="shared" si="2"/>
        <v>0</v>
      </c>
      <c r="O36" s="6">
        <v>0</v>
      </c>
      <c r="P36" s="6">
        <v>0</v>
      </c>
      <c r="Q36" s="6">
        <v>0</v>
      </c>
      <c r="R36" s="6">
        <f t="shared" si="3"/>
        <v>0</v>
      </c>
      <c r="S36" s="6">
        <v>0</v>
      </c>
      <c r="T36" s="6">
        <v>0</v>
      </c>
      <c r="U36" s="6">
        <v>0</v>
      </c>
      <c r="V36" s="6">
        <f t="shared" si="4"/>
        <v>0</v>
      </c>
      <c r="W36" s="6">
        <v>0</v>
      </c>
      <c r="X36" s="6">
        <v>0</v>
      </c>
      <c r="Y36" s="6">
        <v>0</v>
      </c>
      <c r="Z36" s="6">
        <f t="shared" si="5"/>
        <v>0</v>
      </c>
      <c r="AA36" s="6">
        <v>0</v>
      </c>
      <c r="AB36" s="6">
        <v>0</v>
      </c>
      <c r="AC36" s="6">
        <v>0</v>
      </c>
      <c r="AD36" s="6">
        <f t="shared" si="6"/>
        <v>0</v>
      </c>
      <c r="AE36" s="6">
        <v>0</v>
      </c>
      <c r="AF36" s="6">
        <v>0</v>
      </c>
      <c r="AG36" s="6">
        <v>0</v>
      </c>
      <c r="AH36" s="6">
        <f t="shared" si="7"/>
        <v>0</v>
      </c>
      <c r="AI36" s="6">
        <v>0</v>
      </c>
      <c r="AJ36" s="6">
        <v>0</v>
      </c>
      <c r="AK36" s="6">
        <v>0</v>
      </c>
      <c r="AL36" s="6">
        <f t="shared" si="8"/>
        <v>0</v>
      </c>
      <c r="AM36" s="6">
        <v>0</v>
      </c>
      <c r="AN36" s="6">
        <v>0</v>
      </c>
      <c r="AO36" s="6">
        <v>0</v>
      </c>
      <c r="AP36" s="6">
        <f t="shared" si="9"/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</row>
    <row r="37" spans="1:50" x14ac:dyDescent="0.25">
      <c r="A37" s="5" t="s">
        <v>71</v>
      </c>
      <c r="B37" s="5" t="s">
        <v>72</v>
      </c>
      <c r="C37" s="6">
        <v>0</v>
      </c>
      <c r="D37" s="6">
        <v>0</v>
      </c>
      <c r="E37" s="6">
        <v>0</v>
      </c>
      <c r="F37" s="6">
        <f t="shared" si="0"/>
        <v>0</v>
      </c>
      <c r="G37" s="6">
        <v>0</v>
      </c>
      <c r="H37" s="6">
        <v>0</v>
      </c>
      <c r="I37" s="6">
        <v>0</v>
      </c>
      <c r="J37" s="6">
        <f t="shared" si="1"/>
        <v>0</v>
      </c>
      <c r="K37" s="6">
        <v>0</v>
      </c>
      <c r="L37" s="6">
        <v>0</v>
      </c>
      <c r="M37" s="6">
        <v>0</v>
      </c>
      <c r="N37" s="6">
        <f t="shared" si="2"/>
        <v>0</v>
      </c>
      <c r="O37" s="6">
        <v>0</v>
      </c>
      <c r="P37" s="6">
        <v>0</v>
      </c>
      <c r="Q37" s="6">
        <v>0</v>
      </c>
      <c r="R37" s="6">
        <f t="shared" si="3"/>
        <v>0</v>
      </c>
      <c r="S37" s="6">
        <v>0</v>
      </c>
      <c r="T37" s="6">
        <v>0</v>
      </c>
      <c r="U37" s="6">
        <v>0</v>
      </c>
      <c r="V37" s="6">
        <f t="shared" si="4"/>
        <v>0</v>
      </c>
      <c r="W37" s="6">
        <v>0</v>
      </c>
      <c r="X37" s="6">
        <v>0</v>
      </c>
      <c r="Y37" s="6">
        <v>0</v>
      </c>
      <c r="Z37" s="6">
        <f t="shared" si="5"/>
        <v>0</v>
      </c>
      <c r="AA37" s="6">
        <v>0</v>
      </c>
      <c r="AB37" s="6">
        <v>0</v>
      </c>
      <c r="AC37" s="6">
        <v>0</v>
      </c>
      <c r="AD37" s="6">
        <f t="shared" si="6"/>
        <v>0</v>
      </c>
      <c r="AE37" s="6">
        <v>0</v>
      </c>
      <c r="AF37" s="6">
        <v>0</v>
      </c>
      <c r="AG37" s="6">
        <v>0</v>
      </c>
      <c r="AH37" s="6">
        <f t="shared" si="7"/>
        <v>0</v>
      </c>
      <c r="AI37" s="6">
        <v>0</v>
      </c>
      <c r="AJ37" s="6">
        <v>0</v>
      </c>
      <c r="AK37" s="6">
        <v>0</v>
      </c>
      <c r="AL37" s="6">
        <f t="shared" si="8"/>
        <v>0</v>
      </c>
      <c r="AM37" s="6">
        <v>0</v>
      </c>
      <c r="AN37" s="6">
        <v>0</v>
      </c>
      <c r="AO37" s="6">
        <v>0</v>
      </c>
      <c r="AP37" s="6">
        <f t="shared" si="9"/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</row>
    <row r="38" spans="1:50" x14ac:dyDescent="0.25">
      <c r="A38" s="5" t="s">
        <v>73</v>
      </c>
      <c r="B38" s="5" t="s">
        <v>70</v>
      </c>
      <c r="C38" s="6">
        <v>0</v>
      </c>
      <c r="D38" s="6">
        <v>0</v>
      </c>
      <c r="E38" s="6">
        <v>0</v>
      </c>
      <c r="F38" s="6">
        <f t="shared" si="0"/>
        <v>0</v>
      </c>
      <c r="G38" s="6">
        <v>0</v>
      </c>
      <c r="H38" s="6">
        <v>0</v>
      </c>
      <c r="I38" s="6">
        <v>0</v>
      </c>
      <c r="J38" s="6">
        <f t="shared" si="1"/>
        <v>0</v>
      </c>
      <c r="K38" s="6">
        <v>0</v>
      </c>
      <c r="L38" s="6">
        <v>0</v>
      </c>
      <c r="M38" s="6">
        <v>0</v>
      </c>
      <c r="N38" s="6">
        <f t="shared" si="2"/>
        <v>0</v>
      </c>
      <c r="O38" s="6">
        <v>0</v>
      </c>
      <c r="P38" s="6">
        <v>0</v>
      </c>
      <c r="Q38" s="6">
        <v>0</v>
      </c>
      <c r="R38" s="6">
        <f t="shared" si="3"/>
        <v>0</v>
      </c>
      <c r="S38" s="6">
        <v>0</v>
      </c>
      <c r="T38" s="6">
        <v>0</v>
      </c>
      <c r="U38" s="6">
        <v>0</v>
      </c>
      <c r="V38" s="6">
        <f t="shared" si="4"/>
        <v>0</v>
      </c>
      <c r="W38" s="6">
        <v>0</v>
      </c>
      <c r="X38" s="6">
        <v>0</v>
      </c>
      <c r="Y38" s="6">
        <v>0</v>
      </c>
      <c r="Z38" s="6">
        <f t="shared" si="5"/>
        <v>0</v>
      </c>
      <c r="AA38" s="6">
        <v>0</v>
      </c>
      <c r="AB38" s="6">
        <v>0</v>
      </c>
      <c r="AC38" s="6">
        <v>0</v>
      </c>
      <c r="AD38" s="6">
        <f t="shared" si="6"/>
        <v>0</v>
      </c>
      <c r="AE38" s="6">
        <v>0</v>
      </c>
      <c r="AF38" s="6">
        <v>0</v>
      </c>
      <c r="AG38" s="6">
        <v>0</v>
      </c>
      <c r="AH38" s="6">
        <f t="shared" si="7"/>
        <v>0</v>
      </c>
      <c r="AI38" s="6">
        <v>0</v>
      </c>
      <c r="AJ38" s="6">
        <v>0</v>
      </c>
      <c r="AK38" s="6">
        <v>0</v>
      </c>
      <c r="AL38" s="6">
        <f t="shared" si="8"/>
        <v>0</v>
      </c>
      <c r="AM38" s="6">
        <v>0</v>
      </c>
      <c r="AN38" s="6">
        <v>0</v>
      </c>
      <c r="AO38" s="6">
        <v>0</v>
      </c>
      <c r="AP38" s="6">
        <f t="shared" si="9"/>
        <v>0</v>
      </c>
      <c r="AQ38" s="6">
        <v>28.477763217105501</v>
      </c>
      <c r="AR38" s="6">
        <v>0</v>
      </c>
      <c r="AS38" s="6">
        <v>28.477763217105501</v>
      </c>
      <c r="AT38" s="6">
        <v>28.477763217105501</v>
      </c>
      <c r="AU38" s="6">
        <v>0</v>
      </c>
      <c r="AV38" s="6">
        <v>0</v>
      </c>
      <c r="AW38" s="6">
        <v>0</v>
      </c>
      <c r="AX38" s="6">
        <v>0</v>
      </c>
    </row>
    <row r="39" spans="1:50" x14ac:dyDescent="0.25">
      <c r="C39" s="7"/>
      <c r="G39" s="7"/>
      <c r="K39" s="7"/>
      <c r="O39" s="7"/>
      <c r="S39" s="7"/>
      <c r="W39" s="7"/>
      <c r="AA39" s="7"/>
      <c r="AE39" s="6">
        <v>0</v>
      </c>
      <c r="AG39" s="6">
        <v>0</v>
      </c>
      <c r="AH39" s="6">
        <f t="shared" si="7"/>
        <v>0</v>
      </c>
      <c r="AI39" s="7"/>
      <c r="AM39" s="7"/>
      <c r="AQ39" s="7"/>
      <c r="AU39" s="7"/>
    </row>
    <row r="40" spans="1:50" x14ac:dyDescent="0.25">
      <c r="C40" s="7"/>
      <c r="G40" s="7"/>
      <c r="K40" s="7"/>
      <c r="O40" s="7"/>
      <c r="S40" s="7"/>
      <c r="W40" s="7"/>
      <c r="AA40" s="7"/>
      <c r="AE40" s="7"/>
      <c r="AI40" s="7"/>
      <c r="AM40" s="7"/>
      <c r="AQ40" s="7"/>
      <c r="AU40" s="7"/>
    </row>
    <row r="41" spans="1:50" x14ac:dyDescent="0.25">
      <c r="C41" s="7"/>
      <c r="G41" s="7"/>
      <c r="K41" s="7"/>
      <c r="O41" s="7"/>
      <c r="S41" s="7"/>
      <c r="W41" s="7"/>
      <c r="AA41" s="7"/>
      <c r="AE41" s="7"/>
      <c r="AI41" s="7"/>
      <c r="AM41" s="7"/>
      <c r="AQ41" s="7"/>
      <c r="AU41" s="7"/>
    </row>
    <row r="42" spans="1:50" x14ac:dyDescent="0.25">
      <c r="C42" s="7"/>
      <c r="G42" s="7"/>
      <c r="K42" s="7"/>
      <c r="O42" s="7"/>
      <c r="S42" s="7"/>
      <c r="W42" s="7"/>
      <c r="AA42" s="7"/>
      <c r="AE42" s="7"/>
      <c r="AI42" s="7"/>
      <c r="AM42" s="7"/>
      <c r="AQ42" s="7"/>
      <c r="AU42" s="7"/>
    </row>
    <row r="43" spans="1:50" x14ac:dyDescent="0.25">
      <c r="C43" s="7"/>
      <c r="G43" s="7"/>
      <c r="K43" s="7"/>
      <c r="O43" s="7"/>
      <c r="S43" s="7"/>
      <c r="W43" s="7"/>
      <c r="AA43" s="7"/>
      <c r="AE43" s="7"/>
      <c r="AI43" s="7"/>
      <c r="AM43" s="7"/>
      <c r="AQ43" s="7"/>
      <c r="AU43" s="7"/>
    </row>
    <row r="44" spans="1:50" x14ac:dyDescent="0.25">
      <c r="C44" s="7"/>
      <c r="G44" s="7"/>
      <c r="K44" s="7"/>
      <c r="O44" s="7"/>
      <c r="S44" s="7"/>
      <c r="W44" s="7"/>
      <c r="AA44" s="7"/>
      <c r="AE44" s="7"/>
      <c r="AI44" s="7"/>
      <c r="AM44" s="7"/>
      <c r="AQ44" s="7"/>
      <c r="AU44" s="7"/>
    </row>
    <row r="45" spans="1:50" x14ac:dyDescent="0.25">
      <c r="C45" s="7"/>
      <c r="G45" s="7"/>
      <c r="K45" s="7"/>
      <c r="O45" s="7"/>
      <c r="S45" s="7"/>
      <c r="W45" s="7"/>
      <c r="AA45" s="7"/>
      <c r="AE45" s="7"/>
      <c r="AI45" s="7"/>
      <c r="AM45" s="7"/>
      <c r="AQ45" s="7"/>
      <c r="AU45" s="7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E471-0CDF-4679-8AC3-C8E0696A6BA1}">
  <dimension ref="A1:N39"/>
  <sheetViews>
    <sheetView workbookViewId="0">
      <selection activeCell="K9" sqref="K9"/>
    </sheetView>
  </sheetViews>
  <sheetFormatPr defaultRowHeight="15" x14ac:dyDescent="0.25"/>
  <cols>
    <col min="1" max="1" width="35.28515625" customWidth="1"/>
    <col min="2" max="2" width="28.5703125" customWidth="1"/>
    <col min="3" max="3" width="29.85546875" customWidth="1"/>
    <col min="4" max="4" width="34.28515625" customWidth="1"/>
    <col min="5" max="5" width="35.7109375" customWidth="1"/>
    <col min="6" max="6" width="31.85546875" customWidth="1"/>
    <col min="7" max="7" width="35.5703125" customWidth="1"/>
    <col min="8" max="8" width="36" customWidth="1"/>
    <col min="9" max="9" width="34.7109375" customWidth="1"/>
    <col min="10" max="10" width="36.42578125" customWidth="1"/>
    <col min="11" max="11" width="41.140625" customWidth="1"/>
    <col min="12" max="12" width="38.7109375" customWidth="1"/>
    <col min="13" max="13" width="41" customWidth="1"/>
    <col min="14" max="14" width="42.85546875" customWidth="1"/>
  </cols>
  <sheetData>
    <row r="1" spans="1:14" x14ac:dyDescent="0.25">
      <c r="A1" s="1" t="s">
        <v>0</v>
      </c>
      <c r="B1" s="2"/>
      <c r="C1" s="3" t="s">
        <v>90</v>
      </c>
      <c r="D1" s="3" t="s">
        <v>91</v>
      </c>
      <c r="E1" s="3" t="s">
        <v>92</v>
      </c>
      <c r="F1" s="3" t="s">
        <v>93</v>
      </c>
      <c r="G1" s="3" t="s">
        <v>100</v>
      </c>
      <c r="H1" s="3" t="s">
        <v>94</v>
      </c>
      <c r="I1" s="3" t="s">
        <v>95</v>
      </c>
      <c r="J1" s="3" t="s">
        <v>96</v>
      </c>
      <c r="K1" s="3" t="s">
        <v>102</v>
      </c>
      <c r="L1" s="3" t="s">
        <v>97</v>
      </c>
      <c r="M1" s="3" t="s">
        <v>98</v>
      </c>
      <c r="N1" s="3" t="s">
        <v>99</v>
      </c>
    </row>
    <row r="2" spans="1:14" x14ac:dyDescent="0.25">
      <c r="A2" s="4" t="s">
        <v>13</v>
      </c>
      <c r="B2" s="4" t="s">
        <v>14</v>
      </c>
      <c r="C2" s="4" t="s">
        <v>81</v>
      </c>
      <c r="D2" s="4" t="s">
        <v>81</v>
      </c>
      <c r="E2" s="4" t="s">
        <v>81</v>
      </c>
      <c r="F2" s="4" t="s">
        <v>81</v>
      </c>
      <c r="G2" s="4" t="s">
        <v>81</v>
      </c>
      <c r="H2" s="4" t="s">
        <v>81</v>
      </c>
      <c r="I2" s="4" t="s">
        <v>81</v>
      </c>
      <c r="J2" s="4" t="s">
        <v>81</v>
      </c>
      <c r="K2" s="4" t="s">
        <v>81</v>
      </c>
      <c r="L2" s="4" t="s">
        <v>81</v>
      </c>
      <c r="M2" s="4" t="s">
        <v>81</v>
      </c>
      <c r="N2" s="4" t="s">
        <v>81</v>
      </c>
    </row>
    <row r="3" spans="1:14" x14ac:dyDescent="0.25">
      <c r="A3" s="5" t="s">
        <v>15</v>
      </c>
      <c r="B3" s="5" t="s">
        <v>16</v>
      </c>
      <c r="C3" s="6">
        <v>87071.751343761498</v>
      </c>
      <c r="D3" s="6">
        <v>78187.118058541004</v>
      </c>
      <c r="E3" s="6">
        <v>83046.439527055001</v>
      </c>
      <c r="F3" s="6">
        <v>85154.514520137003</v>
      </c>
      <c r="G3" s="6">
        <v>78582.668576669501</v>
      </c>
      <c r="H3" s="6">
        <v>74690.478015552508</v>
      </c>
      <c r="I3" s="6">
        <v>11032.6617600524</v>
      </c>
      <c r="J3" s="6">
        <v>8909.2596996585016</v>
      </c>
      <c r="K3" s="6">
        <v>62492.786098010198</v>
      </c>
      <c r="L3" s="6">
        <v>60548.854260747394</v>
      </c>
      <c r="M3" s="6">
        <v>962.69259114386603</v>
      </c>
      <c r="N3" s="6">
        <v>1163.0204805119199</v>
      </c>
    </row>
    <row r="4" spans="1:14" x14ac:dyDescent="0.25">
      <c r="A4" s="5" t="s">
        <v>17</v>
      </c>
      <c r="B4" s="5" t="s">
        <v>18</v>
      </c>
      <c r="C4" s="6">
        <v>494741.69625201146</v>
      </c>
      <c r="D4" s="6">
        <v>422668.46863144648</v>
      </c>
      <c r="E4" s="6">
        <v>474973.00297553249</v>
      </c>
      <c r="F4" s="6">
        <v>451148.42463062995</v>
      </c>
      <c r="G4" s="6">
        <v>431383.71930653404</v>
      </c>
      <c r="H4" s="6">
        <v>415050.75080354256</v>
      </c>
      <c r="I4" s="6">
        <v>42531.8780984798</v>
      </c>
      <c r="J4" s="6">
        <v>27886.897418582201</v>
      </c>
      <c r="K4" s="6">
        <v>417254.41593715403</v>
      </c>
      <c r="L4" s="6">
        <v>418982.16213994601</v>
      </c>
      <c r="M4" s="6">
        <v>3218.6421512777201</v>
      </c>
      <c r="N4" s="6">
        <v>3404.4403853646299</v>
      </c>
    </row>
    <row r="5" spans="1:14" x14ac:dyDescent="0.25">
      <c r="A5" s="5" t="s">
        <v>19</v>
      </c>
      <c r="B5" s="5" t="s">
        <v>18</v>
      </c>
      <c r="C5" s="6">
        <v>347604.80567018851</v>
      </c>
      <c r="D5" s="6">
        <v>293866.71735591302</v>
      </c>
      <c r="E5" s="6">
        <v>333302.73678336496</v>
      </c>
      <c r="F5" s="6">
        <v>312784.48599425849</v>
      </c>
      <c r="G5" s="6">
        <v>299120.33572365047</v>
      </c>
      <c r="H5" s="6">
        <v>286312.19840208703</v>
      </c>
      <c r="I5" s="6">
        <v>33718.850656383205</v>
      </c>
      <c r="J5" s="6">
        <v>20353.637264902201</v>
      </c>
      <c r="K5" s="6">
        <v>301007.05615051999</v>
      </c>
      <c r="L5" s="6">
        <v>301151.85234586202</v>
      </c>
      <c r="M5" s="6">
        <v>2569.8737482049401</v>
      </c>
      <c r="N5" s="6">
        <v>2623.3325883202201</v>
      </c>
    </row>
    <row r="6" spans="1:14" x14ac:dyDescent="0.25">
      <c r="A6" s="5" t="s">
        <v>20</v>
      </c>
      <c r="B6" s="5" t="s">
        <v>21</v>
      </c>
      <c r="C6" s="6">
        <v>371504.02072596201</v>
      </c>
      <c r="D6" s="6">
        <v>302325.66518129403</v>
      </c>
      <c r="E6" s="6">
        <v>337375.03955630399</v>
      </c>
      <c r="F6" s="6">
        <v>314316.82874062547</v>
      </c>
      <c r="G6" s="6">
        <v>282273.94577125303</v>
      </c>
      <c r="H6" s="6">
        <v>286325.56818484952</v>
      </c>
      <c r="I6" s="6">
        <v>30596.250470921201</v>
      </c>
      <c r="J6" s="6">
        <v>18068.741063293779</v>
      </c>
      <c r="K6" s="6">
        <v>324285.19569796597</v>
      </c>
      <c r="L6" s="6">
        <v>335139.84035904001</v>
      </c>
      <c r="M6" s="6">
        <v>3200.2176808210502</v>
      </c>
      <c r="N6" s="6">
        <v>2776.7878259799099</v>
      </c>
    </row>
    <row r="7" spans="1:14" x14ac:dyDescent="0.25">
      <c r="A7" s="5" t="s">
        <v>22</v>
      </c>
      <c r="B7" s="5" t="s">
        <v>23</v>
      </c>
      <c r="C7" s="6">
        <v>5866.7132236341504</v>
      </c>
      <c r="D7" s="6">
        <v>3311.134831350485</v>
      </c>
      <c r="E7" s="6">
        <v>6027.6637728009</v>
      </c>
      <c r="F7" s="6">
        <v>4308.6483320230946</v>
      </c>
      <c r="G7" s="6">
        <v>3132.636183449235</v>
      </c>
      <c r="H7" s="6">
        <v>3260.9122544257802</v>
      </c>
      <c r="I7" s="6">
        <v>0</v>
      </c>
      <c r="J7" s="6">
        <v>0</v>
      </c>
      <c r="K7" s="6">
        <v>4764.4861614636002</v>
      </c>
      <c r="L7" s="6">
        <v>4828.6208096006803</v>
      </c>
      <c r="M7" s="6">
        <v>56.657405934047802</v>
      </c>
      <c r="N7" s="6">
        <v>31.6810313483508</v>
      </c>
    </row>
    <row r="8" spans="1:14" x14ac:dyDescent="0.25">
      <c r="A8" s="5" t="s">
        <v>24</v>
      </c>
      <c r="B8" s="5" t="s">
        <v>25</v>
      </c>
      <c r="C8" s="6">
        <v>9908.0965208688995</v>
      </c>
      <c r="D8" s="6">
        <v>5873.3255341407003</v>
      </c>
      <c r="E8" s="6">
        <v>6043.6735968517505</v>
      </c>
      <c r="F8" s="6">
        <v>6083.7358616311003</v>
      </c>
      <c r="G8" s="6">
        <v>5656.0023265503996</v>
      </c>
      <c r="H8" s="6">
        <v>5553.2356840645498</v>
      </c>
      <c r="I8" s="6">
        <v>3111.7804386279395</v>
      </c>
      <c r="J8" s="6">
        <v>0</v>
      </c>
      <c r="K8" s="6">
        <v>6976.2546510947795</v>
      </c>
      <c r="L8" s="6">
        <v>7370.3383757481206</v>
      </c>
      <c r="M8" s="6">
        <v>79.859175864394999</v>
      </c>
      <c r="N8" s="6">
        <v>74.009110758398606</v>
      </c>
    </row>
    <row r="9" spans="1:14" x14ac:dyDescent="0.25">
      <c r="A9" s="5" t="s">
        <v>26</v>
      </c>
      <c r="B9" s="5" t="s">
        <v>27</v>
      </c>
      <c r="C9" s="6">
        <v>179808.12017140249</v>
      </c>
      <c r="D9" s="6">
        <v>135250.837948222</v>
      </c>
      <c r="E9" s="6">
        <v>151608.72055494398</v>
      </c>
      <c r="F9" s="6">
        <v>138122.457372064</v>
      </c>
      <c r="G9" s="6">
        <v>126183.99527892951</v>
      </c>
      <c r="H9" s="6">
        <v>128305.97950037449</v>
      </c>
      <c r="I9" s="6">
        <v>13989.734391957962</v>
      </c>
      <c r="J9" s="6">
        <v>8832.61465052942</v>
      </c>
      <c r="K9" s="6">
        <v>134656.42497608039</v>
      </c>
      <c r="L9" s="6">
        <v>144262.764627625</v>
      </c>
      <c r="M9" s="6">
        <v>2106.3405401342202</v>
      </c>
      <c r="N9" s="6">
        <v>2058.2190901121598</v>
      </c>
    </row>
    <row r="10" spans="1:14" x14ac:dyDescent="0.25">
      <c r="A10" s="5" t="s">
        <v>28</v>
      </c>
      <c r="B10" s="5" t="s">
        <v>29</v>
      </c>
      <c r="C10" s="6">
        <v>41667.193514016748</v>
      </c>
      <c r="D10" s="6">
        <v>28421.376483836048</v>
      </c>
      <c r="E10" s="6">
        <v>31625.536029512648</v>
      </c>
      <c r="F10" s="6">
        <v>28698.227415638201</v>
      </c>
      <c r="G10" s="6">
        <v>26167.399027998199</v>
      </c>
      <c r="H10" s="6">
        <v>25429.234680646648</v>
      </c>
      <c r="I10" s="6">
        <v>5830.3565341448802</v>
      </c>
      <c r="J10" s="6">
        <v>5152.0799888648799</v>
      </c>
      <c r="K10" s="6">
        <v>23738.093465727201</v>
      </c>
      <c r="L10" s="6">
        <v>24103.126233501003</v>
      </c>
      <c r="M10" s="6">
        <v>428.94076711986702</v>
      </c>
      <c r="N10" s="6">
        <v>346.85098459709099</v>
      </c>
    </row>
    <row r="11" spans="1:14" x14ac:dyDescent="0.25">
      <c r="A11" s="5" t="s">
        <v>30</v>
      </c>
      <c r="B11" s="5" t="s">
        <v>31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x14ac:dyDescent="0.25">
      <c r="A12" s="5" t="s">
        <v>32</v>
      </c>
      <c r="B12" s="5" t="s">
        <v>33</v>
      </c>
      <c r="C12" s="6">
        <v>37309.259556319397</v>
      </c>
      <c r="D12" s="6">
        <v>27402.272420469501</v>
      </c>
      <c r="E12" s="6">
        <v>26827.931712728452</v>
      </c>
      <c r="F12" s="6">
        <v>26113.005135789597</v>
      </c>
      <c r="G12" s="6">
        <v>24071.954189551452</v>
      </c>
      <c r="H12" s="6">
        <v>23680.030889564699</v>
      </c>
      <c r="I12" s="6">
        <v>5514.7120881023602</v>
      </c>
      <c r="J12" s="6">
        <v>5040.35493339816</v>
      </c>
      <c r="K12" s="6">
        <v>18103.1053524458</v>
      </c>
      <c r="L12" s="6">
        <v>18694.89440706648</v>
      </c>
      <c r="M12" s="6">
        <v>413.03368981720098</v>
      </c>
      <c r="N12" s="6">
        <v>302.06504052457001</v>
      </c>
    </row>
    <row r="13" spans="1:14" x14ac:dyDescent="0.25">
      <c r="A13" s="5" t="s">
        <v>34</v>
      </c>
      <c r="B13" s="5" t="s">
        <v>33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106.964153845965</v>
      </c>
      <c r="N13" s="6">
        <v>104.938649815136</v>
      </c>
    </row>
    <row r="14" spans="1:14" x14ac:dyDescent="0.25">
      <c r="A14" s="5" t="s">
        <v>35</v>
      </c>
      <c r="B14" s="5" t="s">
        <v>36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x14ac:dyDescent="0.25">
      <c r="A15" s="5" t="s">
        <v>37</v>
      </c>
      <c r="B15" s="5" t="s">
        <v>38</v>
      </c>
      <c r="C15" s="6">
        <v>56919.030705726502</v>
      </c>
      <c r="D15" s="6">
        <v>46604.378766065252</v>
      </c>
      <c r="E15" s="6">
        <v>39484.928027661299</v>
      </c>
      <c r="F15" s="6">
        <v>38253.46784791445</v>
      </c>
      <c r="G15" s="6">
        <v>36479.408424822199</v>
      </c>
      <c r="H15" s="6">
        <v>41454.892467573402</v>
      </c>
      <c r="I15" s="6">
        <v>6558.1417802801006</v>
      </c>
      <c r="J15" s="6">
        <v>5750.3268387633598</v>
      </c>
      <c r="K15" s="6">
        <v>25460.214694217397</v>
      </c>
      <c r="L15" s="6">
        <v>26101.687557394398</v>
      </c>
      <c r="M15" s="6">
        <v>695.29591536415501</v>
      </c>
      <c r="N15" s="6">
        <v>492.44440634566598</v>
      </c>
    </row>
    <row r="16" spans="1:14" x14ac:dyDescent="0.25">
      <c r="A16" s="5" t="s">
        <v>39</v>
      </c>
      <c r="B16" s="5" t="s">
        <v>40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x14ac:dyDescent="0.25">
      <c r="A17" s="5" t="s">
        <v>41</v>
      </c>
      <c r="B17" s="5" t="s">
        <v>42</v>
      </c>
      <c r="C17" s="6">
        <v>29395.256689617152</v>
      </c>
      <c r="D17" s="6">
        <v>23852.95340456405</v>
      </c>
      <c r="E17" s="6">
        <v>15640.4052600103</v>
      </c>
      <c r="F17" s="6">
        <v>16360.3939303262</v>
      </c>
      <c r="G17" s="6">
        <v>17790.411539634748</v>
      </c>
      <c r="H17" s="6">
        <v>19046.14625349145</v>
      </c>
      <c r="I17" s="6">
        <v>5705.1686816289393</v>
      </c>
      <c r="J17" s="6">
        <v>5280.6364703952804</v>
      </c>
      <c r="K17" s="6">
        <v>14616.706748711202</v>
      </c>
      <c r="L17" s="6">
        <v>14602.021316956918</v>
      </c>
      <c r="M17" s="6">
        <v>427.04689193532198</v>
      </c>
      <c r="N17" s="6">
        <v>329.47447194382102</v>
      </c>
    </row>
    <row r="18" spans="1:14" x14ac:dyDescent="0.25">
      <c r="A18" s="5" t="s">
        <v>43</v>
      </c>
      <c r="B18" s="5" t="s">
        <v>44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x14ac:dyDescent="0.25">
      <c r="A19" s="5" t="s">
        <v>45</v>
      </c>
      <c r="B19" s="5" t="s">
        <v>46</v>
      </c>
      <c r="C19" s="6">
        <v>1596.7859629759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35.320690867826698</v>
      </c>
      <c r="N19" s="6">
        <v>0</v>
      </c>
    </row>
    <row r="20" spans="1:14" x14ac:dyDescent="0.25">
      <c r="A20" s="5" t="s">
        <v>47</v>
      </c>
      <c r="B20" s="5" t="s">
        <v>46</v>
      </c>
      <c r="C20" s="6">
        <v>7123.7819332312502</v>
      </c>
      <c r="D20" s="6">
        <v>1717.58693668158</v>
      </c>
      <c r="E20" s="6">
        <v>1624.8516197721099</v>
      </c>
      <c r="F20" s="6">
        <v>1617.9598617756199</v>
      </c>
      <c r="G20" s="6">
        <v>1620.4702967723599</v>
      </c>
      <c r="H20" s="6">
        <v>1636.0338964212001</v>
      </c>
      <c r="I20" s="6">
        <v>0</v>
      </c>
      <c r="J20" s="6">
        <v>0</v>
      </c>
      <c r="K20" s="6">
        <v>0</v>
      </c>
      <c r="L20" s="6">
        <v>0</v>
      </c>
      <c r="M20" s="6">
        <v>88.506215246143697</v>
      </c>
      <c r="N20" s="6">
        <v>51.690302403874597</v>
      </c>
    </row>
    <row r="21" spans="1:14" x14ac:dyDescent="0.25">
      <c r="A21" s="5" t="s">
        <v>48</v>
      </c>
      <c r="B21" s="5" t="s">
        <v>49</v>
      </c>
      <c r="C21" s="6">
        <v>5495.6397731531997</v>
      </c>
      <c r="D21" s="6">
        <v>3886.7410681312849</v>
      </c>
      <c r="E21" s="6">
        <v>3158.8372159443247</v>
      </c>
      <c r="F21" s="6">
        <v>3073.8932700127398</v>
      </c>
      <c r="G21" s="6">
        <v>3323.8455551071652</v>
      </c>
      <c r="H21" s="6">
        <v>3439.5941508900351</v>
      </c>
      <c r="I21" s="6">
        <v>0</v>
      </c>
      <c r="J21" s="6">
        <v>0</v>
      </c>
      <c r="K21" s="6">
        <v>6339.1850763907405</v>
      </c>
      <c r="L21" s="6">
        <v>6359.0163099959809</v>
      </c>
      <c r="M21" s="6">
        <v>86.548877009704498</v>
      </c>
      <c r="N21" s="6">
        <v>77.588919933956703</v>
      </c>
    </row>
    <row r="22" spans="1:14" x14ac:dyDescent="0.25">
      <c r="A22" s="5" t="s">
        <v>50</v>
      </c>
      <c r="B22" s="5" t="s">
        <v>49</v>
      </c>
      <c r="C22" s="6">
        <v>2201.9137288552952</v>
      </c>
      <c r="D22" s="6">
        <v>1870.9076007334752</v>
      </c>
      <c r="E22" s="6">
        <v>1680.7210149216551</v>
      </c>
      <c r="F22" s="6">
        <v>1638.1762747684502</v>
      </c>
      <c r="G22" s="6">
        <v>1662.295662008145</v>
      </c>
      <c r="H22" s="6">
        <v>1691.832457621005</v>
      </c>
      <c r="I22" s="6">
        <v>0</v>
      </c>
      <c r="J22" s="6">
        <v>0</v>
      </c>
      <c r="K22" s="6">
        <v>5220.81204560894</v>
      </c>
      <c r="L22" s="6">
        <v>5244.5640998526997</v>
      </c>
      <c r="M22" s="6">
        <v>39.064417409827598</v>
      </c>
      <c r="N22" s="6">
        <v>36.324908985989502</v>
      </c>
    </row>
    <row r="23" spans="1:14" x14ac:dyDescent="0.25">
      <c r="A23" s="5" t="s">
        <v>51</v>
      </c>
      <c r="B23" s="5" t="s">
        <v>52</v>
      </c>
      <c r="C23" s="6">
        <v>1982.3948823067149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x14ac:dyDescent="0.25">
      <c r="A24" s="5" t="s">
        <v>53</v>
      </c>
      <c r="B24" s="5" t="s">
        <v>54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x14ac:dyDescent="0.25">
      <c r="A25" s="5" t="s">
        <v>55</v>
      </c>
      <c r="B25" s="5" t="s">
        <v>54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39.767350130200199</v>
      </c>
      <c r="N25" s="6">
        <v>40.114312815005803</v>
      </c>
    </row>
    <row r="26" spans="1:14" x14ac:dyDescent="0.25">
      <c r="A26" s="5" t="s">
        <v>56</v>
      </c>
      <c r="B26" s="5" t="s">
        <v>54</v>
      </c>
      <c r="C26" s="6">
        <v>1486.787676510635</v>
      </c>
      <c r="D26" s="6">
        <v>1476.4634029239699</v>
      </c>
      <c r="E26" s="6">
        <v>1448.6286084451249</v>
      </c>
      <c r="F26" s="6">
        <v>1451.233105092185</v>
      </c>
      <c r="G26" s="6">
        <v>1445.9823762198648</v>
      </c>
      <c r="H26" s="6">
        <v>1460.4853198395899</v>
      </c>
      <c r="I26" s="6">
        <v>0</v>
      </c>
      <c r="J26" s="6">
        <v>0</v>
      </c>
      <c r="K26" s="6">
        <v>5606.4666846685395</v>
      </c>
      <c r="L26" s="6">
        <v>5596.0372895288001</v>
      </c>
      <c r="M26" s="6">
        <v>29.755537749799501</v>
      </c>
      <c r="N26" s="6">
        <v>29.184134636818101</v>
      </c>
    </row>
    <row r="27" spans="1:14" x14ac:dyDescent="0.25">
      <c r="A27" s="5" t="s">
        <v>57</v>
      </c>
      <c r="B27" s="5" t="s">
        <v>54</v>
      </c>
      <c r="C27" s="6">
        <v>1797.4199883286001</v>
      </c>
      <c r="D27" s="6">
        <v>1770.5199455520699</v>
      </c>
      <c r="E27" s="6">
        <v>1761.4726194343198</v>
      </c>
      <c r="F27" s="6">
        <v>1762.1326296797101</v>
      </c>
      <c r="G27" s="6">
        <v>1763.09206981234</v>
      </c>
      <c r="H27" s="6">
        <v>1762.6451216889698</v>
      </c>
      <c r="I27" s="6">
        <v>0</v>
      </c>
      <c r="J27" s="6">
        <v>0</v>
      </c>
      <c r="K27" s="6">
        <v>0</v>
      </c>
      <c r="L27" s="6">
        <v>0</v>
      </c>
      <c r="M27" s="6">
        <v>35.645164977489799</v>
      </c>
      <c r="N27" s="6">
        <v>35.462287854753797</v>
      </c>
    </row>
    <row r="28" spans="1:14" x14ac:dyDescent="0.25">
      <c r="A28" s="5" t="s">
        <v>58</v>
      </c>
      <c r="B28" s="5" t="s">
        <v>59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x14ac:dyDescent="0.25">
      <c r="A29" s="5" t="s">
        <v>60</v>
      </c>
      <c r="B29" s="5" t="s">
        <v>61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x14ac:dyDescent="0.25">
      <c r="A30" s="5" t="s">
        <v>62</v>
      </c>
      <c r="B30" s="5" t="s">
        <v>63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34.533435168476501</v>
      </c>
      <c r="N30" s="6">
        <v>34.551833762673603</v>
      </c>
    </row>
    <row r="31" spans="1:14" x14ac:dyDescent="0.25">
      <c r="A31" s="5" t="s">
        <v>64</v>
      </c>
      <c r="B31" s="5" t="s">
        <v>63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x14ac:dyDescent="0.25">
      <c r="A32" s="5" t="s">
        <v>65</v>
      </c>
      <c r="B32" s="5" t="s">
        <v>63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</row>
    <row r="33" spans="1:14" x14ac:dyDescent="0.25">
      <c r="A33" s="5" t="s">
        <v>66</v>
      </c>
      <c r="B33" s="5" t="s">
        <v>63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19.923860180601</v>
      </c>
      <c r="N33" s="6">
        <v>0</v>
      </c>
    </row>
    <row r="34" spans="1:14" x14ac:dyDescent="0.25">
      <c r="A34" s="5" t="s">
        <v>67</v>
      </c>
      <c r="B34" s="5" t="s">
        <v>63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x14ac:dyDescent="0.25">
      <c r="A35" s="5" t="s">
        <v>68</v>
      </c>
      <c r="B35" s="5" t="s">
        <v>63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x14ac:dyDescent="0.25">
      <c r="A36" s="5" t="s">
        <v>69</v>
      </c>
      <c r="B36" s="5" t="s">
        <v>70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x14ac:dyDescent="0.25">
      <c r="A37" s="5" t="s">
        <v>71</v>
      </c>
      <c r="B37" s="5" t="s">
        <v>72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x14ac:dyDescent="0.25">
      <c r="A38" s="5" t="s">
        <v>73</v>
      </c>
      <c r="B38" s="5" t="s">
        <v>70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28.477763217105501</v>
      </c>
      <c r="N38" s="6">
        <v>0</v>
      </c>
    </row>
    <row r="39" spans="1:14" x14ac:dyDescent="0.25">
      <c r="C39" s="7"/>
      <c r="J39" s="8">
        <v>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50BB-EAB6-4FB5-A794-5AFC06662293}">
  <dimension ref="A1:AL13"/>
  <sheetViews>
    <sheetView workbookViewId="0">
      <selection activeCell="B24" sqref="B24"/>
    </sheetView>
  </sheetViews>
  <sheetFormatPr defaultRowHeight="15" x14ac:dyDescent="0.25"/>
  <cols>
    <col min="1" max="1" width="62.28515625" customWidth="1"/>
    <col min="2" max="2" width="30.140625" customWidth="1"/>
    <col min="3" max="3" width="36.85546875" customWidth="1"/>
    <col min="4" max="4" width="31.85546875" customWidth="1"/>
    <col min="5" max="5" width="30.5703125" customWidth="1"/>
    <col min="6" max="7" width="22.28515625" customWidth="1"/>
    <col min="8" max="8" width="31.28515625" customWidth="1"/>
    <col min="9" max="9" width="23.42578125" customWidth="1"/>
    <col min="10" max="10" width="26.28515625" customWidth="1"/>
    <col min="11" max="11" width="19.28515625" customWidth="1"/>
    <col min="12" max="12" width="22.42578125" customWidth="1"/>
    <col min="13" max="13" width="27.42578125" customWidth="1"/>
    <col min="14" max="14" width="21" customWidth="1"/>
    <col min="15" max="15" width="26.140625" customWidth="1"/>
    <col min="16" max="16" width="27.42578125" customWidth="1"/>
    <col min="17" max="17" width="32.42578125" customWidth="1"/>
    <col min="18" max="18" width="26.42578125" customWidth="1"/>
    <col min="19" max="19" width="19.7109375" customWidth="1"/>
    <col min="20" max="20" width="27" customWidth="1"/>
    <col min="21" max="21" width="28.5703125" customWidth="1"/>
    <col min="22" max="22" width="23.140625" customWidth="1"/>
    <col min="23" max="23" width="30" customWidth="1"/>
    <col min="24" max="24" width="21.85546875" customWidth="1"/>
    <col min="25" max="25" width="28.5703125" customWidth="1"/>
    <col min="26" max="26" width="30.28515625" customWidth="1"/>
    <col min="27" max="27" width="32.85546875" customWidth="1"/>
    <col min="28" max="28" width="21.7109375" customWidth="1"/>
    <col min="29" max="29" width="28.140625" customWidth="1"/>
    <col min="30" max="30" width="25.7109375" customWidth="1"/>
    <col min="31" max="31" width="20.7109375" customWidth="1"/>
    <col min="32" max="32" width="26.28515625" customWidth="1"/>
    <col min="33" max="33" width="21.140625" customWidth="1"/>
    <col min="34" max="34" width="24.28515625" customWidth="1"/>
    <col min="35" max="35" width="35.5703125" customWidth="1"/>
    <col min="36" max="36" width="22.7109375" customWidth="1"/>
    <col min="37" max="37" width="28" customWidth="1"/>
    <col min="38" max="38" width="21" customWidth="1"/>
  </cols>
  <sheetData>
    <row r="1" spans="1:38" x14ac:dyDescent="0.25">
      <c r="A1" s="10" t="s">
        <v>0</v>
      </c>
      <c r="B1" s="9" t="s">
        <v>15</v>
      </c>
      <c r="C1" s="9" t="s">
        <v>17</v>
      </c>
      <c r="D1" s="9" t="s">
        <v>19</v>
      </c>
      <c r="E1" s="9" t="s">
        <v>20</v>
      </c>
      <c r="F1" s="9" t="s">
        <v>22</v>
      </c>
      <c r="G1" s="9" t="s">
        <v>24</v>
      </c>
      <c r="H1" s="9" t="s">
        <v>26</v>
      </c>
      <c r="I1" s="9" t="s">
        <v>28</v>
      </c>
      <c r="J1" s="9" t="s">
        <v>30</v>
      </c>
      <c r="K1" s="9" t="s">
        <v>32</v>
      </c>
      <c r="L1" s="9" t="s">
        <v>34</v>
      </c>
      <c r="M1" s="9" t="s">
        <v>35</v>
      </c>
      <c r="N1" s="9" t="s">
        <v>37</v>
      </c>
      <c r="O1" s="9" t="s">
        <v>39</v>
      </c>
      <c r="P1" s="9" t="s">
        <v>41</v>
      </c>
      <c r="Q1" s="9" t="s">
        <v>43</v>
      </c>
      <c r="R1" s="9" t="s">
        <v>45</v>
      </c>
      <c r="S1" s="9" t="s">
        <v>47</v>
      </c>
      <c r="T1" s="9" t="s">
        <v>48</v>
      </c>
      <c r="U1" s="9" t="s">
        <v>50</v>
      </c>
      <c r="V1" s="9" t="s">
        <v>51</v>
      </c>
      <c r="W1" s="9" t="s">
        <v>53</v>
      </c>
      <c r="X1" s="9" t="s">
        <v>55</v>
      </c>
      <c r="Y1" s="9" t="s">
        <v>56</v>
      </c>
      <c r="Z1" s="9" t="s">
        <v>57</v>
      </c>
      <c r="AA1" s="9" t="s">
        <v>58</v>
      </c>
      <c r="AB1" s="9" t="s">
        <v>60</v>
      </c>
      <c r="AC1" s="9" t="s">
        <v>62</v>
      </c>
      <c r="AD1" s="9" t="s">
        <v>64</v>
      </c>
      <c r="AE1" s="9" t="s">
        <v>65</v>
      </c>
      <c r="AF1" s="9" t="s">
        <v>66</v>
      </c>
      <c r="AG1" s="9" t="s">
        <v>67</v>
      </c>
      <c r="AH1" s="9" t="s">
        <v>68</v>
      </c>
      <c r="AI1" s="9" t="s">
        <v>69</v>
      </c>
      <c r="AJ1" s="9" t="s">
        <v>71</v>
      </c>
      <c r="AK1" s="9" t="s">
        <v>73</v>
      </c>
    </row>
    <row r="2" spans="1:38" x14ac:dyDescent="0.25">
      <c r="A2" s="10" t="s">
        <v>103</v>
      </c>
      <c r="B2" s="6">
        <v>87071.751343761498</v>
      </c>
      <c r="C2" s="6">
        <v>494741.69625201146</v>
      </c>
      <c r="D2" s="6">
        <v>347604.80567018851</v>
      </c>
      <c r="E2" s="6">
        <v>371504.02072596201</v>
      </c>
      <c r="F2" s="6">
        <v>5866.7132236341504</v>
      </c>
      <c r="G2" s="6">
        <v>9908.0965208688995</v>
      </c>
      <c r="H2" s="6">
        <v>179808.12017140249</v>
      </c>
      <c r="I2" s="6">
        <v>41667.193514016748</v>
      </c>
      <c r="J2" s="6">
        <v>0</v>
      </c>
      <c r="K2" s="6">
        <v>37309.259556319397</v>
      </c>
      <c r="L2" s="6">
        <v>0</v>
      </c>
      <c r="M2" s="6">
        <v>0</v>
      </c>
      <c r="N2" s="6">
        <v>56919.030705726502</v>
      </c>
      <c r="O2" s="6">
        <v>0</v>
      </c>
      <c r="P2" s="6">
        <v>29395.256689617152</v>
      </c>
      <c r="Q2" s="6">
        <v>0</v>
      </c>
      <c r="R2" s="6">
        <v>1596.7859629759</v>
      </c>
      <c r="S2" s="6">
        <v>7123.7819332312502</v>
      </c>
      <c r="T2" s="6">
        <v>5495.6397731531997</v>
      </c>
      <c r="U2" s="6">
        <v>2201.9137288552952</v>
      </c>
      <c r="V2" s="6">
        <v>1982.3948823067149</v>
      </c>
      <c r="W2" s="6">
        <v>0</v>
      </c>
      <c r="X2" s="6">
        <v>0</v>
      </c>
      <c r="Y2" s="6">
        <v>1486.787676510635</v>
      </c>
      <c r="Z2" s="6">
        <v>1797.4199883286001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7"/>
    </row>
    <row r="3" spans="1:38" x14ac:dyDescent="0.25">
      <c r="A3" s="10" t="s">
        <v>104</v>
      </c>
      <c r="B3" s="6">
        <v>78187.118058541004</v>
      </c>
      <c r="C3" s="6">
        <v>422668.46863144648</v>
      </c>
      <c r="D3" s="6">
        <v>293866.71735591302</v>
      </c>
      <c r="E3" s="6">
        <v>302325.66518129403</v>
      </c>
      <c r="F3" s="6">
        <v>3311.134831350485</v>
      </c>
      <c r="G3" s="6">
        <v>5873.3255341407003</v>
      </c>
      <c r="H3" s="6">
        <v>135250.837948222</v>
      </c>
      <c r="I3" s="6">
        <v>28421.376483836048</v>
      </c>
      <c r="J3" s="6">
        <v>0</v>
      </c>
      <c r="K3" s="6">
        <v>27402.272420469501</v>
      </c>
      <c r="L3" s="6">
        <v>0</v>
      </c>
      <c r="M3" s="6">
        <v>0</v>
      </c>
      <c r="N3" s="6">
        <v>46604.378766065252</v>
      </c>
      <c r="O3" s="6">
        <v>0</v>
      </c>
      <c r="P3" s="6">
        <v>23852.95340456405</v>
      </c>
      <c r="Q3" s="6">
        <v>0</v>
      </c>
      <c r="R3" s="6">
        <v>0</v>
      </c>
      <c r="S3" s="6">
        <v>1717.58693668158</v>
      </c>
      <c r="T3" s="6">
        <v>3886.7410681312849</v>
      </c>
      <c r="U3" s="6">
        <v>1870.9076007334752</v>
      </c>
      <c r="V3" s="6">
        <v>0</v>
      </c>
      <c r="W3" s="6">
        <v>0</v>
      </c>
      <c r="X3" s="6">
        <v>0</v>
      </c>
      <c r="Y3" s="6">
        <v>1476.4634029239699</v>
      </c>
      <c r="Z3" s="6">
        <v>1770.5199455520699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</row>
    <row r="4" spans="1:38" x14ac:dyDescent="0.25">
      <c r="A4" s="10" t="s">
        <v>109</v>
      </c>
      <c r="B4" s="6">
        <v>83046.439527055001</v>
      </c>
      <c r="C4" s="6">
        <v>474973.00297553249</v>
      </c>
      <c r="D4" s="6">
        <v>333302.73678336496</v>
      </c>
      <c r="E4" s="6">
        <v>337375.03955630399</v>
      </c>
      <c r="F4" s="6">
        <v>6027.6637728009</v>
      </c>
      <c r="G4" s="6">
        <v>6043.6735968517505</v>
      </c>
      <c r="H4" s="6">
        <v>151608.72055494398</v>
      </c>
      <c r="I4" s="6">
        <v>31625.536029512648</v>
      </c>
      <c r="J4" s="6">
        <v>0</v>
      </c>
      <c r="K4" s="6">
        <v>26827.931712728452</v>
      </c>
      <c r="L4" s="6">
        <v>0</v>
      </c>
      <c r="M4" s="6">
        <v>0</v>
      </c>
      <c r="N4" s="6">
        <v>39484.928027661299</v>
      </c>
      <c r="O4" s="6">
        <v>0</v>
      </c>
      <c r="P4" s="6">
        <v>15640.4052600103</v>
      </c>
      <c r="Q4" s="6">
        <v>0</v>
      </c>
      <c r="R4" s="6">
        <v>0</v>
      </c>
      <c r="S4" s="6">
        <v>1624.8516197721099</v>
      </c>
      <c r="T4" s="6">
        <v>3158.8372159443247</v>
      </c>
      <c r="U4" s="6">
        <v>1680.7210149216551</v>
      </c>
      <c r="V4" s="6">
        <v>0</v>
      </c>
      <c r="W4" s="6">
        <v>0</v>
      </c>
      <c r="X4" s="6">
        <v>0</v>
      </c>
      <c r="Y4" s="6">
        <v>1448.6286084451249</v>
      </c>
      <c r="Z4" s="6">
        <v>1761.4726194343198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</row>
    <row r="5" spans="1:38" x14ac:dyDescent="0.25">
      <c r="A5" s="10" t="s">
        <v>108</v>
      </c>
      <c r="B5" s="6">
        <v>85154.514520137003</v>
      </c>
      <c r="C5" s="6">
        <v>451148.42463062995</v>
      </c>
      <c r="D5" s="6">
        <v>312784.48599425849</v>
      </c>
      <c r="E5" s="6">
        <v>314316.82874062547</v>
      </c>
      <c r="F5" s="6">
        <v>4308.6483320230946</v>
      </c>
      <c r="G5" s="6">
        <v>6083.7358616311003</v>
      </c>
      <c r="H5" s="6">
        <v>138122.457372064</v>
      </c>
      <c r="I5" s="6">
        <v>28698.227415638201</v>
      </c>
      <c r="J5" s="6">
        <v>0</v>
      </c>
      <c r="K5" s="6">
        <v>26113.005135789597</v>
      </c>
      <c r="L5" s="6">
        <v>0</v>
      </c>
      <c r="M5" s="6">
        <v>0</v>
      </c>
      <c r="N5" s="6">
        <v>38253.46784791445</v>
      </c>
      <c r="O5" s="6">
        <v>0</v>
      </c>
      <c r="P5" s="6">
        <v>16360.3939303262</v>
      </c>
      <c r="Q5" s="6">
        <v>0</v>
      </c>
      <c r="R5" s="6">
        <v>0</v>
      </c>
      <c r="S5" s="6">
        <v>1617.9598617756199</v>
      </c>
      <c r="T5" s="6">
        <v>3073.8932700127398</v>
      </c>
      <c r="U5" s="6">
        <v>1638.1762747684502</v>
      </c>
      <c r="V5" s="6">
        <v>0</v>
      </c>
      <c r="W5" s="6">
        <v>0</v>
      </c>
      <c r="X5" s="6">
        <v>0</v>
      </c>
      <c r="Y5" s="6">
        <v>1451.233105092185</v>
      </c>
      <c r="Z5" s="6">
        <v>1762.1326296797101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</row>
    <row r="6" spans="1:38" x14ac:dyDescent="0.25">
      <c r="A6" s="10" t="s">
        <v>105</v>
      </c>
      <c r="B6" s="6">
        <v>78582.668576669501</v>
      </c>
      <c r="C6" s="6">
        <v>431383.71930653404</v>
      </c>
      <c r="D6" s="6">
        <v>299120.33572365047</v>
      </c>
      <c r="E6" s="6">
        <v>282273.94577125303</v>
      </c>
      <c r="F6" s="6">
        <v>3132.636183449235</v>
      </c>
      <c r="G6" s="6">
        <v>5656.0023265503996</v>
      </c>
      <c r="H6" s="6">
        <v>126183.99527892951</v>
      </c>
      <c r="I6" s="6">
        <v>26167.399027998199</v>
      </c>
      <c r="J6" s="6">
        <v>0</v>
      </c>
      <c r="K6" s="6">
        <v>24071.954189551452</v>
      </c>
      <c r="L6" s="6">
        <v>0</v>
      </c>
      <c r="M6" s="6">
        <v>0</v>
      </c>
      <c r="N6" s="6">
        <v>36479.408424822199</v>
      </c>
      <c r="O6" s="6">
        <v>0</v>
      </c>
      <c r="P6" s="6">
        <v>17790.411539634748</v>
      </c>
      <c r="Q6" s="6">
        <v>0</v>
      </c>
      <c r="R6" s="6">
        <v>0</v>
      </c>
      <c r="S6" s="6">
        <v>1620.4702967723599</v>
      </c>
      <c r="T6" s="6">
        <v>3323.8455551071652</v>
      </c>
      <c r="U6" s="6">
        <v>1662.295662008145</v>
      </c>
      <c r="V6" s="6">
        <v>0</v>
      </c>
      <c r="W6" s="6">
        <v>0</v>
      </c>
      <c r="X6" s="6">
        <v>0</v>
      </c>
      <c r="Y6" s="6">
        <v>1445.9823762198648</v>
      </c>
      <c r="Z6" s="6">
        <v>1763.09206981234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</row>
    <row r="7" spans="1:38" x14ac:dyDescent="0.25">
      <c r="A7" s="10" t="s">
        <v>106</v>
      </c>
      <c r="B7" s="6">
        <v>74690.478015552508</v>
      </c>
      <c r="C7" s="6">
        <v>415050.75080354256</v>
      </c>
      <c r="D7" s="6">
        <v>286312.19840208703</v>
      </c>
      <c r="E7" s="6">
        <v>286325.56818484952</v>
      </c>
      <c r="F7" s="6">
        <v>3260.9122544257802</v>
      </c>
      <c r="G7" s="6">
        <v>5553.2356840645498</v>
      </c>
      <c r="H7" s="6">
        <v>128305.97950037449</v>
      </c>
      <c r="I7" s="6">
        <v>25429.234680646648</v>
      </c>
      <c r="J7" s="6">
        <v>0</v>
      </c>
      <c r="K7" s="6">
        <v>23680.030889564699</v>
      </c>
      <c r="L7" s="6">
        <v>0</v>
      </c>
      <c r="M7" s="6">
        <v>0</v>
      </c>
      <c r="N7" s="6">
        <v>41454.892467573402</v>
      </c>
      <c r="O7" s="6">
        <v>0</v>
      </c>
      <c r="P7" s="6">
        <v>19046.14625349145</v>
      </c>
      <c r="Q7" s="6">
        <v>0</v>
      </c>
      <c r="R7" s="6">
        <v>0</v>
      </c>
      <c r="S7" s="6">
        <v>1636.0338964212001</v>
      </c>
      <c r="T7" s="6">
        <v>3439.5941508900351</v>
      </c>
      <c r="U7" s="6">
        <v>1691.832457621005</v>
      </c>
      <c r="V7" s="6">
        <v>0</v>
      </c>
      <c r="W7" s="6">
        <v>0</v>
      </c>
      <c r="X7" s="6">
        <v>0</v>
      </c>
      <c r="Y7" s="6">
        <v>1460.4853198395899</v>
      </c>
      <c r="Z7" s="6">
        <v>1762.6451216889698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</row>
    <row r="8" spans="1:38" x14ac:dyDescent="0.25">
      <c r="A8" s="10" t="s">
        <v>107</v>
      </c>
      <c r="B8" s="6">
        <v>11032.6617600524</v>
      </c>
      <c r="C8" s="6">
        <v>42531.8780984798</v>
      </c>
      <c r="D8" s="6">
        <v>33718.850656383205</v>
      </c>
      <c r="E8" s="6">
        <v>30596.250470921201</v>
      </c>
      <c r="F8" s="6">
        <v>0</v>
      </c>
      <c r="G8" s="6">
        <v>3111.7804386279395</v>
      </c>
      <c r="H8" s="6">
        <v>13989.734391957962</v>
      </c>
      <c r="I8" s="6">
        <v>5830.3565341448802</v>
      </c>
      <c r="J8" s="6">
        <v>0</v>
      </c>
      <c r="K8" s="6">
        <v>5514.7120881023602</v>
      </c>
      <c r="L8" s="6">
        <v>0</v>
      </c>
      <c r="M8" s="6">
        <v>0</v>
      </c>
      <c r="N8" s="6">
        <v>6558.1417802801006</v>
      </c>
      <c r="O8" s="6">
        <v>0</v>
      </c>
      <c r="P8" s="6">
        <v>5705.1686816289393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</row>
    <row r="9" spans="1:38" x14ac:dyDescent="0.25">
      <c r="A9" s="10" t="s">
        <v>110</v>
      </c>
      <c r="B9" s="6">
        <v>8909.2596996585016</v>
      </c>
      <c r="C9" s="6">
        <v>27886.897418582201</v>
      </c>
      <c r="D9" s="6">
        <v>20353.637264902201</v>
      </c>
      <c r="E9" s="6">
        <v>18068.741063293779</v>
      </c>
      <c r="F9" s="6">
        <v>0</v>
      </c>
      <c r="G9" s="6">
        <v>0</v>
      </c>
      <c r="H9" s="6">
        <v>8832.61465052942</v>
      </c>
      <c r="I9" s="6">
        <v>5152.0799888648799</v>
      </c>
      <c r="J9" s="6">
        <v>0</v>
      </c>
      <c r="K9" s="6">
        <v>5040.35493339816</v>
      </c>
      <c r="L9" s="6">
        <v>0</v>
      </c>
      <c r="M9" s="6">
        <v>0</v>
      </c>
      <c r="N9" s="6">
        <v>5750.3268387633598</v>
      </c>
      <c r="O9" s="6">
        <v>0</v>
      </c>
      <c r="P9" s="6">
        <v>5280.6364703952804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8"/>
    </row>
    <row r="10" spans="1:38" x14ac:dyDescent="0.25">
      <c r="A10" s="10" t="s">
        <v>111</v>
      </c>
      <c r="B10" s="6">
        <v>62492.786098010198</v>
      </c>
      <c r="C10" s="6">
        <v>417254.41593715403</v>
      </c>
      <c r="D10" s="6">
        <v>301007.05615051999</v>
      </c>
      <c r="E10" s="6">
        <v>324285.19569796597</v>
      </c>
      <c r="F10" s="6">
        <v>4764.4861614636002</v>
      </c>
      <c r="G10" s="6">
        <v>6976.2546510947795</v>
      </c>
      <c r="H10" s="6">
        <v>134656.42497608039</v>
      </c>
      <c r="I10" s="6">
        <v>23738.093465727201</v>
      </c>
      <c r="J10" s="6">
        <v>0</v>
      </c>
      <c r="K10" s="6">
        <v>18103.1053524458</v>
      </c>
      <c r="L10" s="6">
        <v>0</v>
      </c>
      <c r="M10" s="6">
        <v>0</v>
      </c>
      <c r="N10" s="6">
        <v>25460.214694217397</v>
      </c>
      <c r="O10" s="6">
        <v>0</v>
      </c>
      <c r="P10" s="6">
        <v>14616.706748711202</v>
      </c>
      <c r="Q10" s="6">
        <v>0</v>
      </c>
      <c r="R10" s="6">
        <v>0</v>
      </c>
      <c r="S10" s="6">
        <v>0</v>
      </c>
      <c r="T10" s="6">
        <v>6339.1850763907405</v>
      </c>
      <c r="U10" s="6">
        <v>5220.81204560894</v>
      </c>
      <c r="V10" s="6">
        <v>0</v>
      </c>
      <c r="W10" s="6">
        <v>0</v>
      </c>
      <c r="X10" s="6">
        <v>0</v>
      </c>
      <c r="Y10" s="6">
        <v>5606.4666846685395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</row>
    <row r="11" spans="1:38" x14ac:dyDescent="0.25">
      <c r="A11" s="10" t="s">
        <v>112</v>
      </c>
      <c r="B11" s="6">
        <v>60548.854260747394</v>
      </c>
      <c r="C11" s="6">
        <v>418982.16213994601</v>
      </c>
      <c r="D11" s="6">
        <v>301151.85234586202</v>
      </c>
      <c r="E11" s="6">
        <v>335139.84035904001</v>
      </c>
      <c r="F11" s="6">
        <v>4828.6208096006803</v>
      </c>
      <c r="G11" s="6">
        <v>7370.3383757481206</v>
      </c>
      <c r="H11" s="6">
        <v>144262.764627625</v>
      </c>
      <c r="I11" s="6">
        <v>24103.126233501003</v>
      </c>
      <c r="J11" s="6">
        <v>0</v>
      </c>
      <c r="K11" s="6">
        <v>18694.89440706648</v>
      </c>
      <c r="L11" s="6">
        <v>0</v>
      </c>
      <c r="M11" s="6">
        <v>0</v>
      </c>
      <c r="N11" s="6">
        <v>26101.687557394398</v>
      </c>
      <c r="O11" s="6">
        <v>0</v>
      </c>
      <c r="P11" s="6">
        <v>14602.021316956918</v>
      </c>
      <c r="Q11" s="6">
        <v>0</v>
      </c>
      <c r="R11" s="6">
        <v>0</v>
      </c>
      <c r="S11" s="6">
        <v>0</v>
      </c>
      <c r="T11" s="6">
        <v>6359.0163099959809</v>
      </c>
      <c r="U11" s="6">
        <v>5244.5640998526997</v>
      </c>
      <c r="V11" s="6">
        <v>0</v>
      </c>
      <c r="W11" s="6">
        <v>0</v>
      </c>
      <c r="X11" s="6">
        <v>0</v>
      </c>
      <c r="Y11" s="6">
        <v>5596.0372895288001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</row>
    <row r="12" spans="1:38" x14ac:dyDescent="0.25">
      <c r="A12" s="10" t="s">
        <v>98</v>
      </c>
      <c r="B12" s="6">
        <v>962.69259114386603</v>
      </c>
      <c r="C12" s="6">
        <v>3218.6421512777201</v>
      </c>
      <c r="D12" s="6">
        <v>2569.8737482049401</v>
      </c>
      <c r="E12" s="6">
        <v>3200.2176808210502</v>
      </c>
      <c r="F12" s="6">
        <v>56.657405934047802</v>
      </c>
      <c r="G12" s="6">
        <v>79.859175864394999</v>
      </c>
      <c r="H12" s="6">
        <v>2106.3405401342202</v>
      </c>
      <c r="I12" s="6">
        <v>428.94076711986702</v>
      </c>
      <c r="J12" s="6">
        <v>0</v>
      </c>
      <c r="K12" s="6">
        <v>413.03368981720098</v>
      </c>
      <c r="L12" s="6">
        <v>106.964153845965</v>
      </c>
      <c r="M12" s="6">
        <v>0</v>
      </c>
      <c r="N12" s="6">
        <v>695.29591536415501</v>
      </c>
      <c r="O12" s="6">
        <v>0</v>
      </c>
      <c r="P12" s="6">
        <v>427.04689193532198</v>
      </c>
      <c r="Q12" s="6">
        <v>0</v>
      </c>
      <c r="R12" s="6">
        <v>35.320690867826698</v>
      </c>
      <c r="S12" s="6">
        <v>88.506215246143697</v>
      </c>
      <c r="T12" s="6">
        <v>86.548877009704498</v>
      </c>
      <c r="U12" s="6">
        <v>39.064417409827598</v>
      </c>
      <c r="V12" s="6">
        <v>0</v>
      </c>
      <c r="W12" s="6">
        <v>0</v>
      </c>
      <c r="X12" s="6">
        <v>39.767350130200199</v>
      </c>
      <c r="Y12" s="6">
        <v>29.755537749799501</v>
      </c>
      <c r="Z12" s="6">
        <v>35.645164977489799</v>
      </c>
      <c r="AA12" s="6">
        <v>0</v>
      </c>
      <c r="AB12" s="6">
        <v>0</v>
      </c>
      <c r="AC12" s="6">
        <v>34.533435168476501</v>
      </c>
      <c r="AD12" s="6">
        <v>0</v>
      </c>
      <c r="AE12" s="6">
        <v>0</v>
      </c>
      <c r="AF12" s="6">
        <v>19.923860180601</v>
      </c>
      <c r="AG12" s="6">
        <v>0</v>
      </c>
      <c r="AH12" s="6">
        <v>0</v>
      </c>
      <c r="AI12" s="6">
        <v>0</v>
      </c>
      <c r="AJ12" s="6">
        <v>0</v>
      </c>
      <c r="AK12" s="6">
        <v>28.477763217105501</v>
      </c>
    </row>
    <row r="13" spans="1:38" x14ac:dyDescent="0.25">
      <c r="A13" s="10" t="s">
        <v>99</v>
      </c>
      <c r="B13" s="6">
        <v>1163.0204805119199</v>
      </c>
      <c r="C13" s="6">
        <v>3404.4403853646299</v>
      </c>
      <c r="D13" s="6">
        <v>2623.3325883202201</v>
      </c>
      <c r="E13" s="6">
        <v>2776.7878259799099</v>
      </c>
      <c r="F13" s="6">
        <v>31.6810313483508</v>
      </c>
      <c r="G13" s="6">
        <v>74.009110758398606</v>
      </c>
      <c r="H13" s="6">
        <v>2058.2190901121598</v>
      </c>
      <c r="I13" s="6">
        <v>346.85098459709099</v>
      </c>
      <c r="J13" s="6">
        <v>0</v>
      </c>
      <c r="K13" s="6">
        <v>302.06504052457001</v>
      </c>
      <c r="L13" s="6">
        <v>104.938649815136</v>
      </c>
      <c r="M13" s="6">
        <v>0</v>
      </c>
      <c r="N13" s="6">
        <v>492.44440634566598</v>
      </c>
      <c r="O13" s="6">
        <v>0</v>
      </c>
      <c r="P13" s="6">
        <v>329.47447194382102</v>
      </c>
      <c r="Q13" s="6">
        <v>0</v>
      </c>
      <c r="R13" s="6">
        <v>0</v>
      </c>
      <c r="S13" s="6">
        <v>51.690302403874597</v>
      </c>
      <c r="T13" s="6">
        <v>77.588919933956703</v>
      </c>
      <c r="U13" s="6">
        <v>36.324908985989502</v>
      </c>
      <c r="V13" s="6">
        <v>0</v>
      </c>
      <c r="W13" s="6">
        <v>0</v>
      </c>
      <c r="X13" s="6">
        <v>40.114312815005803</v>
      </c>
      <c r="Y13" s="6">
        <v>29.184134636818101</v>
      </c>
      <c r="Z13" s="6">
        <v>35.462287854753797</v>
      </c>
      <c r="AA13" s="6">
        <v>0</v>
      </c>
      <c r="AB13" s="6">
        <v>0</v>
      </c>
      <c r="AC13" s="6">
        <v>34.551833762673603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Mix of high and low PAHs</vt:lpstr>
      <vt:lpstr>Final results PAHs</vt:lpstr>
      <vt:lpstr>Horizental Final results PAHs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Lashkari</dc:creator>
  <cp:lastModifiedBy>Shiva Lashkari</cp:lastModifiedBy>
  <dcterms:created xsi:type="dcterms:W3CDTF">2025-11-24T21:29:46Z</dcterms:created>
  <dcterms:modified xsi:type="dcterms:W3CDTF">2025-11-25T19:45:54Z</dcterms:modified>
</cp:coreProperties>
</file>